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AL\2026-1S (XII)\Automatizacion de Procesos de Manufactura\imagnes web\"/>
    </mc:Choice>
  </mc:AlternateContent>
  <xr:revisionPtr revIDLastSave="0" documentId="8_{14D4B76A-63A9-499C-8CDB-E15B967F859D}" xr6:coauthVersionLast="47" xr6:coauthVersionMax="47" xr10:uidLastSave="{00000000-0000-0000-0000-000000000000}"/>
  <bookViews>
    <workbookView xWindow="-108" yWindow="-108" windowWidth="23256" windowHeight="12456" firstSheet="2" activeTab="4" xr2:uid="{EA908970-9E33-4CDE-A21B-95580596BCC2}"/>
  </bookViews>
  <sheets>
    <sheet name="Adquisiciones" sheetId="1" r:id="rId1"/>
    <sheet name="EX+Beneficios" sheetId="2" r:id="rId2"/>
    <sheet name="Producción" sheetId="3" r:id="rId3"/>
    <sheet name="Flujo de Caja" sheetId="4" r:id="rId4"/>
    <sheet name="Curva 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3" l="1"/>
  <c r="I50" i="3"/>
  <c r="I54" i="3" s="1"/>
  <c r="J54" i="3" s="1"/>
  <c r="I45" i="3"/>
  <c r="I52" i="3" s="1"/>
  <c r="J46" i="3"/>
  <c r="J47" i="3"/>
  <c r="J48" i="3"/>
  <c r="J49" i="3"/>
  <c r="J51" i="3"/>
  <c r="J44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E2" i="5"/>
  <c r="D4" i="5"/>
  <c r="D5" i="5"/>
  <c r="D6" i="5"/>
  <c r="D7" i="5"/>
  <c r="D8" i="5"/>
  <c r="D9" i="5"/>
  <c r="D10" i="5"/>
  <c r="D3" i="5"/>
  <c r="E3" i="5" s="1"/>
  <c r="H47" i="3"/>
  <c r="H46" i="3"/>
  <c r="H45" i="3"/>
  <c r="H44" i="3"/>
  <c r="I35" i="3"/>
  <c r="I34" i="3"/>
  <c r="I33" i="3"/>
  <c r="I32" i="3"/>
  <c r="I31" i="3"/>
  <c r="I30" i="3"/>
  <c r="I29" i="3"/>
  <c r="I28" i="3"/>
  <c r="F50" i="3"/>
  <c r="E66" i="3"/>
  <c r="E65" i="3"/>
  <c r="B65" i="3" s="1"/>
  <c r="D60" i="3"/>
  <c r="D56" i="3"/>
  <c r="B59" i="3" s="1"/>
  <c r="B60" i="3" s="1"/>
  <c r="D53" i="3"/>
  <c r="D47" i="3"/>
  <c r="D46" i="3"/>
  <c r="D43" i="3"/>
  <c r="E22" i="3"/>
  <c r="B22" i="3" s="1"/>
  <c r="B26" i="3" s="1"/>
  <c r="E20" i="3"/>
  <c r="E10" i="3"/>
  <c r="C38" i="3"/>
  <c r="C37" i="3"/>
  <c r="C36" i="3"/>
  <c r="B18" i="3"/>
  <c r="B17" i="3"/>
  <c r="B16" i="3"/>
  <c r="B14" i="3"/>
  <c r="B13" i="3"/>
  <c r="C14" i="3"/>
  <c r="B12" i="3"/>
  <c r="G2" i="4"/>
  <c r="F2" i="4"/>
  <c r="E2" i="4"/>
  <c r="D2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3" i="4"/>
  <c r="B2" i="4"/>
  <c r="B21" i="2"/>
  <c r="B27" i="2"/>
  <c r="B25" i="2"/>
  <c r="B20" i="2"/>
  <c r="E8" i="2"/>
  <c r="B5" i="2" s="1"/>
  <c r="B9" i="2"/>
  <c r="B8" i="2"/>
  <c r="B7" i="2"/>
  <c r="B6" i="2"/>
  <c r="B15" i="2" s="1"/>
  <c r="B16" i="2" s="1"/>
  <c r="F36" i="1"/>
  <c r="I55" i="3" l="1"/>
  <c r="I58" i="3" s="1"/>
  <c r="J58" i="3" s="1"/>
  <c r="J50" i="3"/>
  <c r="I53" i="3"/>
  <c r="I56" i="3" s="1"/>
  <c r="J56" i="3" s="1"/>
  <c r="J55" i="3"/>
  <c r="I61" i="3"/>
  <c r="J61" i="3" s="1"/>
  <c r="I60" i="3"/>
  <c r="J60" i="3" s="1"/>
  <c r="J52" i="3"/>
  <c r="J45" i="3"/>
  <c r="I57" i="3"/>
  <c r="J57" i="3" s="1"/>
  <c r="E4" i="5"/>
  <c r="E5" i="5" s="1"/>
  <c r="E6" i="5" s="1"/>
  <c r="E7" i="5" s="1"/>
  <c r="E8" i="5" s="1"/>
  <c r="E9" i="5" s="1"/>
  <c r="E10" i="5" s="1"/>
  <c r="B64" i="3"/>
  <c r="B46" i="3"/>
  <c r="B66" i="3"/>
  <c r="B20" i="3"/>
  <c r="B24" i="3" s="1"/>
  <c r="B44" i="3" s="1"/>
  <c r="B21" i="3"/>
  <c r="B25" i="3" s="1"/>
  <c r="B45" i="3" s="1"/>
  <c r="B11" i="2"/>
  <c r="J53" i="3" l="1"/>
  <c r="I59" i="3"/>
  <c r="J59" i="3" s="1"/>
  <c r="B67" i="3"/>
  <c r="B27" i="3"/>
  <c r="B33" i="3" s="1"/>
  <c r="C33" i="3" s="1"/>
  <c r="B38" i="3" s="1"/>
  <c r="B32" i="3"/>
  <c r="C32" i="3" s="1"/>
  <c r="B37" i="3" s="1"/>
  <c r="B31" i="3"/>
  <c r="C31" i="3" s="1"/>
  <c r="B36" i="3" s="1"/>
  <c r="B39" i="3" s="1"/>
  <c r="B40" i="3" s="1"/>
  <c r="B26" i="2" l="1"/>
  <c r="B28" i="2" s="1"/>
  <c r="C3" i="4" s="1"/>
  <c r="D3" i="4" l="1"/>
  <c r="C4" i="4"/>
  <c r="D4" i="4" l="1"/>
  <c r="F4" i="4" s="1"/>
  <c r="G4" i="4" s="1"/>
  <c r="C5" i="4"/>
  <c r="E3" i="4"/>
  <c r="F3" i="4"/>
  <c r="G3" i="4" s="1"/>
  <c r="E4" i="4" l="1"/>
  <c r="D5" i="4"/>
  <c r="C6" i="4"/>
  <c r="E5" i="4" l="1"/>
  <c r="C7" i="4"/>
  <c r="D6" i="4"/>
  <c r="F6" i="4" s="1"/>
  <c r="G6" i="4" s="1"/>
  <c r="F5" i="4"/>
  <c r="G5" i="4" s="1"/>
  <c r="D7" i="4" l="1"/>
  <c r="F7" i="4" s="1"/>
  <c r="G7" i="4" s="1"/>
  <c r="C8" i="4"/>
  <c r="E6" i="4"/>
  <c r="E7" i="4" l="1"/>
  <c r="D8" i="4"/>
  <c r="F8" i="4" s="1"/>
  <c r="G8" i="4" s="1"/>
  <c r="C9" i="4"/>
  <c r="E8" i="4" l="1"/>
  <c r="D9" i="4"/>
  <c r="C10" i="4"/>
  <c r="C11" i="4" l="1"/>
  <c r="D10" i="4"/>
  <c r="F10" i="4" s="1"/>
  <c r="G10" i="4" s="1"/>
  <c r="F9" i="4"/>
  <c r="G9" i="4" s="1"/>
  <c r="E9" i="4"/>
  <c r="E10" i="4" l="1"/>
  <c r="C12" i="4"/>
  <c r="D11" i="4"/>
  <c r="F11" i="4" s="1"/>
  <c r="G11" i="4" s="1"/>
  <c r="C13" i="4" l="1"/>
  <c r="D12" i="4"/>
  <c r="F12" i="4" s="1"/>
  <c r="G12" i="4" s="1"/>
  <c r="E11" i="4"/>
  <c r="E12" i="4" l="1"/>
  <c r="D13" i="4"/>
  <c r="F13" i="4" s="1"/>
  <c r="G13" i="4" s="1"/>
  <c r="C14" i="4"/>
  <c r="C15" i="4" l="1"/>
  <c r="D14" i="4"/>
  <c r="F14" i="4" s="1"/>
  <c r="G14" i="4" s="1"/>
  <c r="E13" i="4"/>
  <c r="E14" i="4" l="1"/>
  <c r="C16" i="4"/>
  <c r="D15" i="4"/>
  <c r="F15" i="4" s="1"/>
  <c r="G15" i="4" s="1"/>
  <c r="E15" i="4" l="1"/>
  <c r="D16" i="4"/>
  <c r="F16" i="4" s="1"/>
  <c r="G16" i="4" s="1"/>
  <c r="C17" i="4"/>
  <c r="C18" i="4" l="1"/>
  <c r="D17" i="4"/>
  <c r="F17" i="4" s="1"/>
  <c r="G17" i="4" s="1"/>
  <c r="E16" i="4"/>
  <c r="E17" i="4" l="1"/>
  <c r="D18" i="4"/>
  <c r="F18" i="4" s="1"/>
  <c r="G18" i="4" s="1"/>
  <c r="C19" i="4"/>
  <c r="D19" i="4" l="1"/>
  <c r="C20" i="4"/>
  <c r="E18" i="4"/>
  <c r="E19" i="4" l="1"/>
  <c r="C21" i="4"/>
  <c r="D21" i="4" s="1"/>
  <c r="D20" i="4"/>
  <c r="F20" i="4" s="1"/>
  <c r="G20" i="4" s="1"/>
  <c r="F19" i="4"/>
  <c r="G19" i="4" s="1"/>
  <c r="J4" i="4" l="1"/>
  <c r="E20" i="4"/>
  <c r="E21" i="4" s="1"/>
  <c r="J3" i="4" s="1"/>
  <c r="F21" i="4"/>
  <c r="G21" i="4" s="1"/>
</calcChain>
</file>

<file path=xl/sharedStrings.xml><?xml version="1.0" encoding="utf-8"?>
<sst xmlns="http://schemas.openxmlformats.org/spreadsheetml/2006/main" count="394" uniqueCount="288">
  <si>
    <t>Categoría</t>
  </si>
  <si>
    <t>Equipo</t>
  </si>
  <si>
    <t>Referencia</t>
  </si>
  <si>
    <t>Cant.</t>
  </si>
  <si>
    <t>Precio Unitario (COP)</t>
  </si>
  <si>
    <t>Subtotal (COP)</t>
  </si>
  <si>
    <t>Link</t>
  </si>
  <si>
    <t>Robot</t>
  </si>
  <si>
    <t>Robot Paletizador</t>
  </si>
  <si>
    <t>ABB IRB 460-110/2.4</t>
  </si>
  <si>
    <t>https://new.abb.com/products/robotics/industrial-robots/irb-460</t>
  </si>
  <si>
    <t>Controlador Robot</t>
  </si>
  <si>
    <t>ABB OmniCore C30</t>
  </si>
  <si>
    <t>Incluido</t>
  </si>
  <si>
    <t>https://new.abb.com/products/robotics/controllers/omnicore</t>
  </si>
  <si>
    <t>FlexGripper Clamp</t>
  </si>
  <si>
    <t>ABB FlexGripper Clamp</t>
  </si>
  <si>
    <t>https://library.e.abb.com/public/599e76150db34d35ac0c1e0b3708cc8e/FlexGripper+Family_Presentation_FT_JAN2018_EXTERNAL+DISTRIBUTION.pdf</t>
  </si>
  <si>
    <t>Seguridad</t>
  </si>
  <si>
    <t>Cortina de luz Tipo 4</t>
  </si>
  <si>
    <t>REER EOS4</t>
  </si>
  <si>
    <t>https://www.reersafety.com/en/product/eos4-151-a-1310000/</t>
  </si>
  <si>
    <t>Baliza LED</t>
  </si>
  <si>
    <t>PATLITE LR6</t>
  </si>
  <si>
    <t>https://www.patlite.com/product/detail0000000629.html</t>
  </si>
  <si>
    <t>Panel Robo Fence</t>
  </si>
  <si>
    <t>Panel estándar</t>
  </si>
  <si>
    <t>https://www.traceparts.com/els/squaregroup/en/search/robo-fencer-machine-guarding-panels-yellow-panels-with-black-mesh-25-mm-x-25-mm?CatalogPath=SQUARE_641530326%3ARFMG.020.010</t>
  </si>
  <si>
    <t>Puerta Robo Fence</t>
  </si>
  <si>
    <t>Gate Assembly</t>
  </si>
  <si>
    <t>https://www.traceparts.com/els/squaregroup/en/product/robo-fencer-machine-guarding-machine-guarding-1000-x-1800-mm-16-ga-solid-steel-slide-left-gate-assy?CatalogPath=SQUARE_641530326%3ARFMG.050.2.030&amp;Product=90-13112024-035661&amp;PartNumber=SGA.06.1000.1800.SL.1</t>
  </si>
  <si>
    <t>Operación</t>
  </si>
  <si>
    <t>Pedestal HMI</t>
  </si>
  <si>
    <t>Hoffmann</t>
  </si>
  <si>
    <t>https://www.nvent.com/es-mx/hoffman/products/pedestal-system-0</t>
  </si>
  <si>
    <t>Logística</t>
  </si>
  <si>
    <t>Dispensador de pallets</t>
  </si>
  <si>
    <t>Quimarix</t>
  </si>
  <si>
    <t>https://www.qimarox.es/producto/pallet-dispenser/</t>
  </si>
  <si>
    <t>Estibas plásticas</t>
  </si>
  <si>
    <t>1200×1000 mm</t>
  </si>
  <si>
    <t>https://www.orbiscorporation.com/es-mx/industries/industrial/plastic-pallets/</t>
  </si>
  <si>
    <t>Transporte</t>
  </si>
  <si>
    <t>Conveyor 950-4000</t>
  </si>
  <si>
    <t>Interroll Modular</t>
  </si>
  <si>
    <t>https://www.interroll.com/es/productos/mcp</t>
  </si>
  <si>
    <t>Conveyor 600</t>
  </si>
  <si>
    <t>Eléctrico</t>
  </si>
  <si>
    <t>Gabinete IP66</t>
  </si>
  <si>
    <t>Rittal VX25</t>
  </si>
  <si>
    <t>https://www.rittal.com/co-es/products/PG20231215SCH101/PG20240111SCH301/PRO83564</t>
  </si>
  <si>
    <t>Control</t>
  </si>
  <si>
    <t>PLC Principal</t>
  </si>
  <si>
    <t>Allen-Bradley ControlLogix 5580</t>
  </si>
  <si>
    <t>https://www.rockwellautomation.com/es-co/products/hardware/programmable-controllers/1756controllogix5580.html</t>
  </si>
  <si>
    <t>Chasis PLC</t>
  </si>
  <si>
    <t>1756-A10</t>
  </si>
  <si>
    <t>https://literature.rockwellautomation.com/idc/groups/literature/documents/in/1756-in621_-es-p.pdf</t>
  </si>
  <si>
    <t>Fuente PLC</t>
  </si>
  <si>
    <t>1756-PA75</t>
  </si>
  <si>
    <t>https://literature.rockwellautomation.com/idc/groups/literature/documents/in/1756-in619_-es-p.pdf</t>
  </si>
  <si>
    <t>Entradas Digitales</t>
  </si>
  <si>
    <t>1756-IB32</t>
  </si>
  <si>
    <t>https://literature.rockwellautomation.com/idc/groups/literature/documents/um/1756-um058_-es-p.pdf</t>
  </si>
  <si>
    <t>Salidas Digitales</t>
  </si>
  <si>
    <t>1756-OB32</t>
  </si>
  <si>
    <t>Entradas Analógicas</t>
  </si>
  <si>
    <t>1756-IF8</t>
  </si>
  <si>
    <t>https://literature.rockwellautomation.com/idc/groups/literature/documents/um/1756-um009_-es-p.pdf</t>
  </si>
  <si>
    <t>Salidas Analógicas</t>
  </si>
  <si>
    <t>1756-OF8</t>
  </si>
  <si>
    <t>HMI</t>
  </si>
  <si>
    <t>PanelView Plus 7</t>
  </si>
  <si>
    <t>https://www.rockwellautomation.com/es-co/products/hardware/hmi/2711p-panelview-plus-7.html</t>
  </si>
  <si>
    <t>Redes</t>
  </si>
  <si>
    <t>Switch Ethernet/IP</t>
  </si>
  <si>
    <t>Stratix 5700</t>
  </si>
  <si>
    <t>https://www.rockwellautomation.com/es-co/products/hardware/industrial-network-products/stratix-5700-industrial.html</t>
  </si>
  <si>
    <t>Patch Panel Industrial</t>
  </si>
  <si>
    <t>Cat6 Industrial</t>
  </si>
  <si>
    <t>https://www.phoenixcontact.com/en-pc/products/industrial-communication/installation-technology-and-accessories/patch-panels</t>
  </si>
  <si>
    <t>Cable Ethernet Industrial</t>
  </si>
  <si>
    <t>1 lote</t>
  </si>
  <si>
    <t>https://www.belden.com/products/cable/ethernet-cable/category-6-cable</t>
  </si>
  <si>
    <t>Conectores M12</t>
  </si>
  <si>
    <t>Ethernet/IP</t>
  </si>
  <si>
    <t>https://www.phoenixcontact.com/es-pc/cat/m12-ethernet-connectors-1592</t>
  </si>
  <si>
    <t>Software</t>
  </si>
  <si>
    <t>Siemens NX Design</t>
  </si>
  <si>
    <t>Licencia</t>
  </si>
  <si>
    <t>https://plm.sw.siemens.com/nx</t>
  </si>
  <si>
    <t>NX Mechatronics Concept Designer</t>
  </si>
  <si>
    <t>https://plm.sw.siemens.com</t>
  </si>
  <si>
    <t>Studio 5000 Logix Designer</t>
  </si>
  <si>
    <t>Professional</t>
  </si>
  <si>
    <t>https://www.rockwellautomation.com</t>
  </si>
  <si>
    <t>FactoryTalk View Studio</t>
  </si>
  <si>
    <t>SE</t>
  </si>
  <si>
    <t>FactoryTalk Linx</t>
  </si>
  <si>
    <t>Runtime</t>
  </si>
  <si>
    <t>TOTAL</t>
  </si>
  <si>
    <t>OPEX</t>
  </si>
  <si>
    <t>Concepto</t>
  </si>
  <si>
    <t>Costo Estimado</t>
  </si>
  <si>
    <t>Mantenimiento Preventivo</t>
  </si>
  <si>
    <t>Costo del Flujo Eléctrico</t>
  </si>
  <si>
    <t>Licencias Studio 5000</t>
  </si>
  <si>
    <t>Licencias Plant Simulation</t>
  </si>
  <si>
    <t>Licencias SiemensNX</t>
  </si>
  <si>
    <t>CAPEX</t>
  </si>
  <si>
    <t>Adquisiciones</t>
  </si>
  <si>
    <t>Documentación</t>
  </si>
  <si>
    <t>https://www.siemens.com/en-us/products/tecnomatix/offerings/plant-simulation-x-buyers-guide/?utm_source=chatgpt.com</t>
  </si>
  <si>
    <t>Plant Simulation X Essentials</t>
  </si>
  <si>
    <t xml:space="preserve">ABB Robot Studio </t>
  </si>
  <si>
    <t>https://www.abb.com/global/en/areas/robotics/products/software/robotstudio-suite?TID=7205&amp;utm_source=chatgpt.com</t>
  </si>
  <si>
    <t>Licencias Robot Studio</t>
  </si>
  <si>
    <t>Instalación de Maquinaria (≈10%)</t>
  </si>
  <si>
    <t>Capacitación del personal existente</t>
  </si>
  <si>
    <t>Documetación técnica y manuales</t>
  </si>
  <si>
    <t>Salario del equipo</t>
  </si>
  <si>
    <t>FLUJO ELECTRICO</t>
  </si>
  <si>
    <t>Variable</t>
  </si>
  <si>
    <t>Valor</t>
  </si>
  <si>
    <t>Vatios x Hora de la maquinaria</t>
  </si>
  <si>
    <t>Horas de uso</t>
  </si>
  <si>
    <t>Días de uso al año</t>
  </si>
  <si>
    <t>Costo del Flujo electrico kWh</t>
  </si>
  <si>
    <t>SALARIO DEL EQUIPO</t>
  </si>
  <si>
    <t>Salario Base</t>
  </si>
  <si>
    <t>ARL</t>
  </si>
  <si>
    <t>Pensión</t>
  </si>
  <si>
    <t>Salud</t>
  </si>
  <si>
    <t>Caja de compensación</t>
  </si>
  <si>
    <t>BENEFICIOS</t>
  </si>
  <si>
    <t>Reducción Operadores de Paletizado</t>
  </si>
  <si>
    <t>Ganancias x Aumento de Producción</t>
  </si>
  <si>
    <t>Reducción perdidas por accidentes</t>
  </si>
  <si>
    <t>SALARIO DE OPERADORES</t>
  </si>
  <si>
    <t>Cantidad</t>
  </si>
  <si>
    <t>Salario Paletizador Anual</t>
  </si>
  <si>
    <t>Número de Operadores x Turno</t>
  </si>
  <si>
    <t>Turnos</t>
  </si>
  <si>
    <t>INFORMACIÓN OBTENIDA POR VISITA</t>
  </si>
  <si>
    <t>LITRAJE</t>
  </si>
  <si>
    <t>Información</t>
  </si>
  <si>
    <t>Bebidas</t>
  </si>
  <si>
    <t>Litros</t>
  </si>
  <si>
    <t>Tiempo alistamiento [horas]</t>
  </si>
  <si>
    <t>Coca-Cola</t>
  </si>
  <si>
    <t>Tiempo saneamiento [minutos]</t>
  </si>
  <si>
    <t>Quatro</t>
  </si>
  <si>
    <t>Rp</t>
  </si>
  <si>
    <t>Sprite</t>
  </si>
  <si>
    <t>Horas x Turno</t>
  </si>
  <si>
    <t>ESTUDIO DE MERCADO || COCA-COLA FEMSA</t>
  </si>
  <si>
    <t>Horas x Día</t>
  </si>
  <si>
    <t>Razón</t>
  </si>
  <si>
    <t>Cajas consumidas</t>
  </si>
  <si>
    <t>Bebidas Carbonatadas</t>
  </si>
  <si>
    <t>% Pérdida Rp</t>
  </si>
  <si>
    <t>Presentación Familiar</t>
  </si>
  <si>
    <t>Consumo Diario</t>
  </si>
  <si>
    <t>DESGLOSE POR VOLUMEN</t>
  </si>
  <si>
    <t>Cajas Diarias Coca-Cola</t>
  </si>
  <si>
    <t>Cajas Diarias Quatro</t>
  </si>
  <si>
    <t>Cajas Diarias Sprite</t>
  </si>
  <si>
    <t>LITROS DIARIOS</t>
  </si>
  <si>
    <t>Cajas a oz</t>
  </si>
  <si>
    <t>Litros Diarios Coca-Cola</t>
  </si>
  <si>
    <t>Litros Diarios Quatro</t>
  </si>
  <si>
    <t>oz a L</t>
  </si>
  <si>
    <t>Litros Diarios Sprite</t>
  </si>
  <si>
    <t>UNIDADES DIARIAS</t>
  </si>
  <si>
    <t>Unidades Coca-Cola</t>
  </si>
  <si>
    <t>Unidades Quatro</t>
  </si>
  <si>
    <t>Unidades Sprite</t>
  </si>
  <si>
    <t>ANEXO - RESULTADOS FINANCIEROS COCA-COLA 2024</t>
  </si>
  <si>
    <t>Total Unidades - Nivel Nacional</t>
  </si>
  <si>
    <t>USD</t>
  </si>
  <si>
    <t>COP</t>
  </si>
  <si>
    <t>Volúmen de Ventas</t>
  </si>
  <si>
    <t>UNIDADES DIARIAS - PLANTA Y PRECIO</t>
  </si>
  <si>
    <t>Ingresos Totales</t>
  </si>
  <si>
    <t>Unidades</t>
  </si>
  <si>
    <t>Utilidad de Operación</t>
  </si>
  <si>
    <t>Utilidad Neta de la Participación Controladora</t>
  </si>
  <si>
    <t>Activos Totales</t>
  </si>
  <si>
    <t>Deuda a Largo Plazo y Documentos por Pagar</t>
  </si>
  <si>
    <t>UNIDADES DIARIAS - UTILIDAD</t>
  </si>
  <si>
    <t>Participación Controladora</t>
  </si>
  <si>
    <t>Inversión en Activo Fijo</t>
  </si>
  <si>
    <t>Utilidad Coca-Cola</t>
  </si>
  <si>
    <t>Utilidad por Acción</t>
  </si>
  <si>
    <t>Utilidad Quatro</t>
  </si>
  <si>
    <t>Utilidad Sprite</t>
  </si>
  <si>
    <t>Utilidad - Nivel Nacional</t>
  </si>
  <si>
    <t>Utilidad Anual</t>
  </si>
  <si>
    <t>TAKT TIME</t>
  </si>
  <si>
    <t>Tiempo Planeación de ejecución</t>
  </si>
  <si>
    <t>CALCULADORA - AUMENTO DE PRODUCTIVIDAD</t>
  </si>
  <si>
    <t>Timmer</t>
  </si>
  <si>
    <t>Tiempo [s]</t>
  </si>
  <si>
    <t>Horas</t>
  </si>
  <si>
    <t>Valor Anterior</t>
  </si>
  <si>
    <t>Valor Actual</t>
  </si>
  <si>
    <t>Diferencia</t>
  </si>
  <si>
    <t>Takt Time Coca-cola</t>
  </si>
  <si>
    <t>Tiempo de alistamiento</t>
  </si>
  <si>
    <t>Takt Time Quatro</t>
  </si>
  <si>
    <t>Tiempo de Ciclo</t>
  </si>
  <si>
    <t>Tiempo de Saneamiento</t>
  </si>
  <si>
    <t>Takt Time Sprite</t>
  </si>
  <si>
    <t>Segundos</t>
  </si>
  <si>
    <t>Botellas / Hora</t>
  </si>
  <si>
    <t># de Turnos</t>
  </si>
  <si>
    <t>TIEMPO DE EJECUCIÓN</t>
  </si>
  <si>
    <t>MLT</t>
  </si>
  <si>
    <t>Unidades Diarias en Planta</t>
  </si>
  <si>
    <t>Horas / Botella</t>
  </si>
  <si>
    <t>Soplado</t>
  </si>
  <si>
    <t>Unidades Diarias</t>
  </si>
  <si>
    <t>Enjuagado</t>
  </si>
  <si>
    <t>Tiempos de Parada</t>
  </si>
  <si>
    <t>Llenado</t>
  </si>
  <si>
    <t>% Nivel Planta / Nivel Nacional</t>
  </si>
  <si>
    <t>Tiempo Planeación de Ejecución</t>
  </si>
  <si>
    <t>Tapado</t>
  </si>
  <si>
    <t>%</t>
  </si>
  <si>
    <t>Etiquetado</t>
  </si>
  <si>
    <t>Codificado</t>
  </si>
  <si>
    <t>Tiempo de Set-Up</t>
  </si>
  <si>
    <t>Embalaje</t>
  </si>
  <si>
    <t>Pesos</t>
  </si>
  <si>
    <t>Paletizado</t>
  </si>
  <si>
    <t>Embalamiento</t>
  </si>
  <si>
    <t>Tiempos de parada</t>
  </si>
  <si>
    <t>Minutos</t>
  </si>
  <si>
    <t>MLT TOTAL</t>
  </si>
  <si>
    <t>Eficiencia</t>
  </si>
  <si>
    <t>Disponibilidad</t>
  </si>
  <si>
    <t>CÁLCULO OEE</t>
  </si>
  <si>
    <t>Datos de Calidad</t>
  </si>
  <si>
    <t>Porcentaje</t>
  </si>
  <si>
    <t>ING de Mfctura</t>
  </si>
  <si>
    <t>Calidad</t>
  </si>
  <si>
    <t>Q1</t>
  </si>
  <si>
    <t>Q2</t>
  </si>
  <si>
    <t>PRODUCTO OEE</t>
  </si>
  <si>
    <t>PERDIDAS POR DAÑO ACCIDENTAL AL PALLET</t>
  </si>
  <si>
    <t>Peso Máximo Seguro Pallet</t>
  </si>
  <si>
    <t>Precio por Litro de Bebida</t>
  </si>
  <si>
    <t>Incidentes de Caida de Pallet Anual</t>
  </si>
  <si>
    <t>Porcentaje de bebida dañada por caída</t>
  </si>
  <si>
    <t>Repuestos y Consumibles</t>
  </si>
  <si>
    <t>Soporte Técnico</t>
  </si>
  <si>
    <t>Puesta en Marcha y Pruebas</t>
  </si>
  <si>
    <t>AÑO</t>
  </si>
  <si>
    <t>OPEX + CAPEX</t>
  </si>
  <si>
    <t>INGREOS</t>
  </si>
  <si>
    <t>FLUJO NETO</t>
  </si>
  <si>
    <t>FLUJO ACUMULADO</t>
  </si>
  <si>
    <t>VPN</t>
  </si>
  <si>
    <t>ROI</t>
  </si>
  <si>
    <t>Indicadores:</t>
  </si>
  <si>
    <t>Tasa de Mercado</t>
  </si>
  <si>
    <t>Payback</t>
  </si>
  <si>
    <t>TIR</t>
  </si>
  <si>
    <t>Razón de Volúmen de Ventas</t>
  </si>
  <si>
    <t>Volúmen de Ventas - Colombia</t>
  </si>
  <si>
    <t>Razón de Ingresos por Volumen</t>
  </si>
  <si>
    <t>Precio de Venta x Caja</t>
  </si>
  <si>
    <t>Precio de Venta x Litro</t>
  </si>
  <si>
    <t>Razón de Utilidad</t>
  </si>
  <si>
    <t>MES</t>
  </si>
  <si>
    <t>% DEL PRESUPUESTO</t>
  </si>
  <si>
    <t>COSTO ACUMULADO</t>
  </si>
  <si>
    <t>COSTO X MES</t>
  </si>
  <si>
    <t>CONCEPTO</t>
  </si>
  <si>
    <t>Ingenieria y Diseño</t>
  </si>
  <si>
    <t>Instalación eléctrica</t>
  </si>
  <si>
    <t>Programación equipos</t>
  </si>
  <si>
    <t>Integración del robot</t>
  </si>
  <si>
    <t>Pruebas y puesta en marcha</t>
  </si>
  <si>
    <t>Capacitación y documentación</t>
  </si>
  <si>
    <t>compra de equipos</t>
  </si>
  <si>
    <t>-</t>
  </si>
  <si>
    <t>Planeación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</si>
</sst>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71" formatCode="&quot;$&quot;\ #,##0.00"/>
    <numFmt numFmtId="175" formatCode="0.000"/>
    <numFmt numFmtId="182" formatCode="0.0000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rgb="FFFFFFFF"/>
      <name val="Arial"/>
      <family val="2"/>
    </font>
    <font>
      <sz val="10"/>
      <color rgb="FFFFFFFF"/>
      <name val="Roboto"/>
    </font>
    <font>
      <b/>
      <sz val="10"/>
      <color theme="1"/>
      <name val="Roboto"/>
    </font>
    <font>
      <sz val="10"/>
      <name val="Roboto"/>
    </font>
  </fonts>
  <fills count="12">
    <fill>
      <patternFill patternType="none"/>
    </fill>
    <fill>
      <patternFill patternType="gray125"/>
    </fill>
    <fill>
      <patternFill patternType="solid">
        <fgColor rgb="FFF02D4D"/>
        <bgColor indexed="64"/>
      </patternFill>
    </fill>
    <fill>
      <patternFill patternType="solid">
        <fgColor rgb="FF0B3C6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">
        <color rgb="FFFFFFFF"/>
      </bottom>
      <diagonal/>
    </border>
    <border>
      <left style="thick">
        <color rgb="FFFFFFFF"/>
      </left>
      <right style="medium">
        <color rgb="FFFFFFFF"/>
      </right>
      <top style="medium">
        <color rgb="FFCCCCCC"/>
      </top>
      <bottom style="thick">
        <color rgb="FFFFFFF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1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8" fontId="3" fillId="0" borderId="1" xfId="0" applyNumberFormat="1" applyFont="1" applyBorder="1" applyAlignment="1">
      <alignment horizontal="right" wrapText="1"/>
    </xf>
    <xf numFmtId="0" fontId="4" fillId="0" borderId="1" xfId="3" applyBorder="1" applyAlignment="1">
      <alignment wrapText="1"/>
    </xf>
    <xf numFmtId="0" fontId="4" fillId="0" borderId="1" xfId="3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6" fontId="0" fillId="0" borderId="0" xfId="0" applyNumberFormat="1"/>
    <xf numFmtId="6" fontId="6" fillId="0" borderId="6" xfId="0" applyNumberFormat="1" applyFont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8" fontId="6" fillId="0" borderId="6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8" fontId="7" fillId="0" borderId="6" xfId="0" applyNumberFormat="1" applyFont="1" applyBorder="1" applyAlignment="1">
      <alignment horizontal="right" vertical="center" wrapText="1"/>
    </xf>
    <xf numFmtId="6" fontId="7" fillId="0" borderId="6" xfId="0" applyNumberFormat="1" applyFont="1" applyBorder="1" applyAlignment="1">
      <alignment horizontal="right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wrapText="1"/>
    </xf>
    <xf numFmtId="0" fontId="6" fillId="0" borderId="6" xfId="0" applyFont="1" applyBorder="1" applyAlignment="1">
      <alignment horizontal="right" wrapText="1"/>
    </xf>
    <xf numFmtId="6" fontId="6" fillId="0" borderId="6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9" fontId="6" fillId="0" borderId="6" xfId="0" applyNumberFormat="1" applyFont="1" applyBorder="1" applyAlignment="1">
      <alignment horizontal="right" vertical="center" wrapText="1"/>
    </xf>
    <xf numFmtId="10" fontId="0" fillId="0" borderId="0" xfId="0" applyNumberFormat="1"/>
    <xf numFmtId="10" fontId="6" fillId="0" borderId="6" xfId="0" applyNumberFormat="1" applyFont="1" applyBorder="1" applyAlignment="1">
      <alignment horizontal="right" vertical="center" wrapText="1"/>
    </xf>
    <xf numFmtId="0" fontId="3" fillId="7" borderId="6" xfId="0" applyFont="1" applyFill="1" applyBorder="1" applyAlignment="1">
      <alignment wrapText="1"/>
    </xf>
    <xf numFmtId="0" fontId="8" fillId="9" borderId="6" xfId="0" applyFont="1" applyFill="1" applyBorder="1" applyAlignment="1">
      <alignment wrapText="1"/>
    </xf>
    <xf numFmtId="0" fontId="5" fillId="9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6" fillId="10" borderId="6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wrapText="1"/>
    </xf>
    <xf numFmtId="0" fontId="3" fillId="7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4" borderId="6" xfId="0" applyFont="1" applyFill="1" applyBorder="1" applyAlignment="1">
      <alignment horizontal="right" wrapText="1"/>
    </xf>
    <xf numFmtId="0" fontId="8" fillId="5" borderId="6" xfId="0" applyFont="1" applyFill="1" applyBorder="1" applyAlignment="1">
      <alignment wrapText="1"/>
    </xf>
    <xf numFmtId="10" fontId="6" fillId="0" borderId="6" xfId="0" applyNumberFormat="1" applyFont="1" applyBorder="1" applyAlignment="1">
      <alignment horizontal="right" wrapText="1"/>
    </xf>
    <xf numFmtId="6" fontId="3" fillId="7" borderId="6" xfId="0" applyNumberFormat="1" applyFont="1" applyFill="1" applyBorder="1" applyAlignment="1">
      <alignment horizontal="right" wrapText="1"/>
    </xf>
    <xf numFmtId="6" fontId="3" fillId="0" borderId="6" xfId="0" applyNumberFormat="1" applyFont="1" applyBorder="1" applyAlignment="1">
      <alignment horizontal="right" wrapText="1"/>
    </xf>
    <xf numFmtId="10" fontId="3" fillId="7" borderId="6" xfId="0" applyNumberFormat="1" applyFont="1" applyFill="1" applyBorder="1" applyAlignment="1">
      <alignment horizontal="right" wrapText="1"/>
    </xf>
    <xf numFmtId="10" fontId="3" fillId="0" borderId="6" xfId="0" applyNumberFormat="1" applyFont="1" applyBorder="1" applyAlignment="1">
      <alignment horizontal="right" wrapText="1"/>
    </xf>
    <xf numFmtId="0" fontId="5" fillId="3" borderId="5" xfId="0" applyFont="1" applyFill="1" applyBorder="1" applyAlignment="1">
      <alignment wrapText="1"/>
    </xf>
    <xf numFmtId="0" fontId="6" fillId="10" borderId="5" xfId="0" applyFont="1" applyFill="1" applyBorder="1" applyAlignment="1">
      <alignment vertical="center" wrapText="1"/>
    </xf>
    <xf numFmtId="10" fontId="6" fillId="10" borderId="6" xfId="0" applyNumberFormat="1" applyFont="1" applyFill="1" applyBorder="1" applyAlignment="1">
      <alignment horizontal="right" vertical="center" wrapText="1"/>
    </xf>
    <xf numFmtId="0" fontId="3" fillId="10" borderId="6" xfId="0" applyFont="1" applyFill="1" applyBorder="1" applyAlignment="1">
      <alignment vertical="center" wrapText="1"/>
    </xf>
    <xf numFmtId="10" fontId="6" fillId="8" borderId="6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right" vertical="center" wrapText="1"/>
    </xf>
    <xf numFmtId="0" fontId="6" fillId="8" borderId="4" xfId="0" applyFont="1" applyFill="1" applyBorder="1" applyAlignment="1">
      <alignment horizontal="right" vertical="center" wrapText="1"/>
    </xf>
    <xf numFmtId="6" fontId="6" fillId="8" borderId="3" xfId="0" applyNumberFormat="1" applyFont="1" applyFill="1" applyBorder="1" applyAlignment="1">
      <alignment horizontal="right" vertical="center" wrapText="1"/>
    </xf>
    <xf numFmtId="6" fontId="6" fillId="8" borderId="4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3" fontId="6" fillId="0" borderId="6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right" wrapText="1"/>
    </xf>
    <xf numFmtId="0" fontId="6" fillId="7" borderId="6" xfId="0" applyFont="1" applyFill="1" applyBorder="1" applyAlignment="1">
      <alignment horizontal="right" wrapText="1"/>
    </xf>
    <xf numFmtId="6" fontId="6" fillId="7" borderId="6" xfId="0" applyNumberFormat="1" applyFont="1" applyFill="1" applyBorder="1" applyAlignment="1">
      <alignment horizontal="right" wrapText="1"/>
    </xf>
    <xf numFmtId="8" fontId="6" fillId="7" borderId="6" xfId="0" applyNumberFormat="1" applyFont="1" applyFill="1" applyBorder="1" applyAlignment="1">
      <alignment horizontal="center" wrapText="1"/>
    </xf>
    <xf numFmtId="8" fontId="6" fillId="7" borderId="6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6" fontId="6" fillId="7" borderId="6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wrapText="1"/>
    </xf>
    <xf numFmtId="10" fontId="6" fillId="0" borderId="13" xfId="0" applyNumberFormat="1" applyFont="1" applyBorder="1" applyAlignment="1">
      <alignment horizontal="right" wrapText="1"/>
    </xf>
    <xf numFmtId="0" fontId="10" fillId="4" borderId="14" xfId="0" applyFont="1" applyFill="1" applyBorder="1" applyAlignment="1">
      <alignment wrapText="1"/>
    </xf>
    <xf numFmtId="0" fontId="5" fillId="2" borderId="10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171" fontId="5" fillId="2" borderId="7" xfId="0" applyNumberFormat="1" applyFont="1" applyFill="1" applyBorder="1" applyAlignment="1">
      <alignment horizontal="center" wrapText="1"/>
    </xf>
    <xf numFmtId="171" fontId="6" fillId="7" borderId="6" xfId="0" applyNumberFormat="1" applyFont="1" applyFill="1" applyBorder="1" applyAlignment="1">
      <alignment horizontal="center" wrapText="1"/>
    </xf>
    <xf numFmtId="171" fontId="0" fillId="0" borderId="0" xfId="0" applyNumberFormat="1"/>
    <xf numFmtId="2" fontId="6" fillId="0" borderId="13" xfId="0" applyNumberFormat="1" applyFont="1" applyBorder="1" applyAlignment="1">
      <alignment horizontal="right" wrapText="1"/>
    </xf>
    <xf numFmtId="9" fontId="6" fillId="0" borderId="6" xfId="0" applyNumberFormat="1" applyFont="1" applyBorder="1" applyAlignment="1">
      <alignment horizontal="right" wrapText="1"/>
    </xf>
    <xf numFmtId="10" fontId="6" fillId="0" borderId="6" xfId="2" applyNumberFormat="1" applyFont="1" applyBorder="1" applyAlignment="1">
      <alignment horizontal="right" vertical="center" wrapText="1"/>
    </xf>
    <xf numFmtId="1" fontId="6" fillId="0" borderId="6" xfId="0" applyNumberFormat="1" applyFont="1" applyBorder="1" applyAlignment="1">
      <alignment horizontal="right" vertical="center" wrapText="1"/>
    </xf>
    <xf numFmtId="1" fontId="6" fillId="0" borderId="6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175" fontId="6" fillId="8" borderId="6" xfId="0" applyNumberFormat="1" applyFont="1" applyFill="1" applyBorder="1" applyAlignment="1">
      <alignment horizontal="right" vertical="center" wrapText="1"/>
    </xf>
    <xf numFmtId="10" fontId="6" fillId="7" borderId="6" xfId="0" applyNumberFormat="1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center" wrapText="1"/>
    </xf>
    <xf numFmtId="0" fontId="11" fillId="11" borderId="8" xfId="0" applyFont="1" applyFill="1" applyBorder="1" applyAlignment="1">
      <alignment horizontal="right" wrapText="1"/>
    </xf>
    <xf numFmtId="1" fontId="3" fillId="7" borderId="6" xfId="0" applyNumberFormat="1" applyFont="1" applyFill="1" applyBorder="1" applyAlignment="1">
      <alignment horizontal="right" wrapText="1"/>
    </xf>
    <xf numFmtId="44" fontId="3" fillId="4" borderId="6" xfId="1" applyFont="1" applyFill="1" applyBorder="1" applyAlignment="1">
      <alignment horizontal="right" wrapText="1"/>
    </xf>
    <xf numFmtId="44" fontId="6" fillId="0" borderId="6" xfId="0" applyNumberFormat="1" applyFont="1" applyBorder="1" applyAlignment="1">
      <alignment horizontal="right" vertical="center" wrapText="1"/>
    </xf>
    <xf numFmtId="182" fontId="3" fillId="0" borderId="6" xfId="0" applyNumberFormat="1" applyFont="1" applyBorder="1" applyAlignment="1">
      <alignment horizontal="right" wrapText="1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OPEX</a:t>
            </a:r>
            <a:r>
              <a:rPr lang="es-CO" baseline="0"/>
              <a:t> + CAPEX, INRESOS, FLUJO NETO, FLUJO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'Flujo de Caja'!$B$2:$B$21</c:f>
              <c:numCache>
                <c:formatCode>"$"#,##0_);[Red]\("$"#,##0\)</c:formatCode>
                <c:ptCount val="20"/>
                <c:pt idx="0">
                  <c:v>-912716600</c:v>
                </c:pt>
                <c:pt idx="1">
                  <c:v>-912716600</c:v>
                </c:pt>
                <c:pt idx="2">
                  <c:v>-912716600</c:v>
                </c:pt>
                <c:pt idx="3">
                  <c:v>-912716600</c:v>
                </c:pt>
                <c:pt idx="4">
                  <c:v>-912716600</c:v>
                </c:pt>
                <c:pt idx="5">
                  <c:v>-912716600</c:v>
                </c:pt>
                <c:pt idx="6">
                  <c:v>-912716600</c:v>
                </c:pt>
                <c:pt idx="7">
                  <c:v>-912716600</c:v>
                </c:pt>
                <c:pt idx="8">
                  <c:v>-912716600</c:v>
                </c:pt>
                <c:pt idx="9">
                  <c:v>-912716600</c:v>
                </c:pt>
                <c:pt idx="10">
                  <c:v>-912716600</c:v>
                </c:pt>
                <c:pt idx="11">
                  <c:v>-912716600</c:v>
                </c:pt>
                <c:pt idx="12">
                  <c:v>-912716600</c:v>
                </c:pt>
                <c:pt idx="13">
                  <c:v>-912716600</c:v>
                </c:pt>
                <c:pt idx="14">
                  <c:v>-912716600</c:v>
                </c:pt>
                <c:pt idx="15">
                  <c:v>-912716600</c:v>
                </c:pt>
                <c:pt idx="16">
                  <c:v>-912716600</c:v>
                </c:pt>
                <c:pt idx="17">
                  <c:v>-912716600</c:v>
                </c:pt>
                <c:pt idx="18">
                  <c:v>-912716600</c:v>
                </c:pt>
                <c:pt idx="19">
                  <c:v>-912716600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3-4563-B467-7CF1DFD7D1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'Flujo de Caja'!$C$2:$C$21</c:f>
              <c:numCache>
                <c:formatCode>"$"#,##0_);[Red]\("$"#,##0\)</c:formatCode>
                <c:ptCount val="20"/>
                <c:pt idx="0" formatCode="General">
                  <c:v>0</c:v>
                </c:pt>
                <c:pt idx="1">
                  <c:v>1121238047.5383224</c:v>
                </c:pt>
                <c:pt idx="2">
                  <c:v>1121238047.5383224</c:v>
                </c:pt>
                <c:pt idx="3">
                  <c:v>1121238047.5383224</c:v>
                </c:pt>
                <c:pt idx="4">
                  <c:v>1121238047.5383224</c:v>
                </c:pt>
                <c:pt idx="5">
                  <c:v>1121238047.5383224</c:v>
                </c:pt>
                <c:pt idx="6">
                  <c:v>1121238047.5383224</c:v>
                </c:pt>
                <c:pt idx="7">
                  <c:v>1121238047.5383224</c:v>
                </c:pt>
                <c:pt idx="8">
                  <c:v>1121238047.5383224</c:v>
                </c:pt>
                <c:pt idx="9">
                  <c:v>1121238047.5383224</c:v>
                </c:pt>
                <c:pt idx="10">
                  <c:v>1121238047.5383224</c:v>
                </c:pt>
                <c:pt idx="11">
                  <c:v>1121238047.5383224</c:v>
                </c:pt>
                <c:pt idx="12">
                  <c:v>1121238047.5383224</c:v>
                </c:pt>
                <c:pt idx="13">
                  <c:v>1121238047.5383224</c:v>
                </c:pt>
                <c:pt idx="14">
                  <c:v>1121238047.5383224</c:v>
                </c:pt>
                <c:pt idx="15">
                  <c:v>1121238047.5383224</c:v>
                </c:pt>
                <c:pt idx="16">
                  <c:v>1121238047.5383224</c:v>
                </c:pt>
                <c:pt idx="17">
                  <c:v>1121238047.5383224</c:v>
                </c:pt>
                <c:pt idx="18">
                  <c:v>1121238047.5383224</c:v>
                </c:pt>
                <c:pt idx="19">
                  <c:v>1121238047.5383224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3-4563-B467-7CF1DFD7D10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'Flujo de Caja'!$D$2:$D$21</c:f>
              <c:numCache>
                <c:formatCode>"$"#,##0_);[Red]\("$"#,##0\)</c:formatCode>
                <c:ptCount val="20"/>
                <c:pt idx="0">
                  <c:v>-912716600</c:v>
                </c:pt>
                <c:pt idx="1">
                  <c:v>208521447.53832245</c:v>
                </c:pt>
                <c:pt idx="2">
                  <c:v>208521447.53832245</c:v>
                </c:pt>
                <c:pt idx="3">
                  <c:v>208521447.53832245</c:v>
                </c:pt>
                <c:pt idx="4">
                  <c:v>208521447.53832245</c:v>
                </c:pt>
                <c:pt idx="5">
                  <c:v>208521447.53832245</c:v>
                </c:pt>
                <c:pt idx="6">
                  <c:v>208521447.53832245</c:v>
                </c:pt>
                <c:pt idx="7">
                  <c:v>208521447.53832245</c:v>
                </c:pt>
                <c:pt idx="8">
                  <c:v>208521447.53832245</c:v>
                </c:pt>
                <c:pt idx="9">
                  <c:v>208521447.53832245</c:v>
                </c:pt>
                <c:pt idx="10">
                  <c:v>208521447.53832245</c:v>
                </c:pt>
                <c:pt idx="11">
                  <c:v>208521447.53832245</c:v>
                </c:pt>
                <c:pt idx="12">
                  <c:v>208521447.53832245</c:v>
                </c:pt>
                <c:pt idx="13">
                  <c:v>208521447.53832245</c:v>
                </c:pt>
                <c:pt idx="14">
                  <c:v>208521447.53832245</c:v>
                </c:pt>
                <c:pt idx="15">
                  <c:v>208521447.53832245</c:v>
                </c:pt>
                <c:pt idx="16">
                  <c:v>208521447.53832245</c:v>
                </c:pt>
                <c:pt idx="17">
                  <c:v>208521447.53832245</c:v>
                </c:pt>
                <c:pt idx="18">
                  <c:v>208521447.53832245</c:v>
                </c:pt>
                <c:pt idx="19">
                  <c:v>208521447.53832245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3-4563-B467-7CF1DFD7D10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'Flujo de Caja'!$E$2:$E$21</c:f>
              <c:numCache>
                <c:formatCode>"$"#,##0_);[Red]\("$"#,##0\)</c:formatCode>
                <c:ptCount val="20"/>
                <c:pt idx="0">
                  <c:v>-912716600</c:v>
                </c:pt>
                <c:pt idx="1">
                  <c:v>-704195152.46167755</c:v>
                </c:pt>
                <c:pt idx="2">
                  <c:v>-495673704.9233551</c:v>
                </c:pt>
                <c:pt idx="3">
                  <c:v>-287152257.38503265</c:v>
                </c:pt>
                <c:pt idx="4">
                  <c:v>-78630809.846710205</c:v>
                </c:pt>
                <c:pt idx="5">
                  <c:v>129890637.69161224</c:v>
                </c:pt>
                <c:pt idx="6">
                  <c:v>338412085.22993469</c:v>
                </c:pt>
                <c:pt idx="7">
                  <c:v>546933532.76825714</c:v>
                </c:pt>
                <c:pt idx="8">
                  <c:v>755454980.30657959</c:v>
                </c:pt>
                <c:pt idx="9">
                  <c:v>963976427.84490204</c:v>
                </c:pt>
                <c:pt idx="10">
                  <c:v>1172497875.3832245</c:v>
                </c:pt>
                <c:pt idx="11">
                  <c:v>1381019322.9215469</c:v>
                </c:pt>
                <c:pt idx="12">
                  <c:v>1589540770.4598694</c:v>
                </c:pt>
                <c:pt idx="13">
                  <c:v>1798062217.9981918</c:v>
                </c:pt>
                <c:pt idx="14">
                  <c:v>2006583665.5365143</c:v>
                </c:pt>
                <c:pt idx="15">
                  <c:v>2215105113.0748367</c:v>
                </c:pt>
                <c:pt idx="16">
                  <c:v>2423626560.6131592</c:v>
                </c:pt>
                <c:pt idx="17">
                  <c:v>2632148008.1514816</c:v>
                </c:pt>
                <c:pt idx="18">
                  <c:v>2840669455.6898041</c:v>
                </c:pt>
                <c:pt idx="19">
                  <c:v>3049190903.2281265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3-4563-B467-7CF1DFD7D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859407"/>
        <c:axId val="1848853935"/>
      </c:barChart>
      <c:catAx>
        <c:axId val="1977859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853935"/>
        <c:crosses val="autoZero"/>
        <c:auto val="1"/>
        <c:lblAlgn val="ctr"/>
        <c:lblOffset val="100"/>
        <c:noMultiLvlLbl val="0"/>
      </c:catAx>
      <c:valAx>
        <c:axId val="1848853935"/>
        <c:scaling>
          <c:orientation val="minMax"/>
          <c:min val="-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78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7047084878374105"/>
          <c:y val="0.11807675290997532"/>
          <c:w val="0.80740945054315183"/>
          <c:h val="0.725554264600637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'Curva S'!$E$2:$E$10</c:f>
              <c:numCache>
                <c:formatCode>"$"#,##0_);[Red]\("$"#,##0\)</c:formatCode>
                <c:ptCount val="9"/>
                <c:pt idx="0">
                  <c:v>0</c:v>
                </c:pt>
                <c:pt idx="1">
                  <c:v>7402166</c:v>
                </c:pt>
                <c:pt idx="2">
                  <c:v>118434656</c:v>
                </c:pt>
                <c:pt idx="3">
                  <c:v>488542956</c:v>
                </c:pt>
                <c:pt idx="4">
                  <c:v>562564616</c:v>
                </c:pt>
                <c:pt idx="5">
                  <c:v>621781944</c:v>
                </c:pt>
                <c:pt idx="6">
                  <c:v>695803604</c:v>
                </c:pt>
                <c:pt idx="7">
                  <c:v>725412268</c:v>
                </c:pt>
                <c:pt idx="8">
                  <c:v>740216600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4-459F-B71C-8A32C1CD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845951"/>
        <c:axId val="1848853455"/>
      </c:lineChart>
      <c:catAx>
        <c:axId val="197784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853455"/>
        <c:crosses val="autoZero"/>
        <c:auto val="1"/>
        <c:lblAlgn val="ctr"/>
        <c:lblOffset val="100"/>
        <c:noMultiLvlLbl val="0"/>
      </c:catAx>
      <c:valAx>
        <c:axId val="184885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784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20595</xdr:colOff>
      <xdr:row>0</xdr:row>
      <xdr:rowOff>20595</xdr:rowOff>
    </xdr:from>
    <xdr:to>
      <xdr:col>8</xdr:col>
      <xdr:colOff>138797</xdr:colOff>
      <xdr:row>13</xdr:row>
      <xdr:rowOff>87739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AE043B-FC1C-17CA-A656-A3E46685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136" y="20595"/>
          <a:ext cx="4871033" cy="2695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82379</xdr:colOff>
      <xdr:row>11</xdr:row>
      <xdr:rowOff>185352</xdr:rowOff>
    </xdr:from>
    <xdr:to>
      <xdr:col>8</xdr:col>
      <xdr:colOff>200582</xdr:colOff>
      <xdr:row>24</xdr:row>
      <xdr:rowOff>124186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C2FE74-B608-A1CC-3940-00199B09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4920" y="2739082"/>
          <a:ext cx="4871034" cy="2616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1217340</xdr:colOff>
      <xdr:row>4</xdr:row>
      <xdr:rowOff>184923</xdr:rowOff>
    </xdr:from>
    <xdr:to>
      <xdr:col>17</xdr:col>
      <xdr:colOff>9293</xdr:colOff>
      <xdr:row>26</xdr:row>
      <xdr:rowOff>102220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BE981E-A582-A1E3-5DB3-B99F8F302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784409</xdr:colOff>
      <xdr:row>0</xdr:row>
      <xdr:rowOff>349622</xdr:rowOff>
    </xdr:from>
    <xdr:to>
      <xdr:col>13</xdr:col>
      <xdr:colOff>788893</xdr:colOff>
      <xdr:row>22</xdr:row>
      <xdr:rowOff>44823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CECC87-9037-23EB-15E8-8D5353E7B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ttal.com/" TargetMode="External"/><Relationship Id="rId13" Type="http://schemas.openxmlformats.org/officeDocument/2006/relationships/hyperlink" Target="https://www.rittal.com/" TargetMode="External"/><Relationship Id="rId18" Type="http://schemas.openxmlformats.org/officeDocument/2006/relationships/hyperlink" Target="https://literature.rockwellautomation.com/idc/groups/literature/documents/um/1756-um058_-es-p.pdf" TargetMode="External"/><Relationship Id="rId26" Type="http://schemas.openxmlformats.org/officeDocument/2006/relationships/hyperlink" Target="https://plm.sw.siemens.com/nx" TargetMode="External"/><Relationship Id="rId3" Type="http://schemas.openxmlformats.org/officeDocument/2006/relationships/hyperlink" Target="https://library.e.abb.com/public/599e76150db34d35ac0c1e0b3708cc8e/FlexGripper+Family_Presentation_FT_JAN2018_EXTERNAL+DISTRIBUTION.pdf" TargetMode="External"/><Relationship Id="rId21" Type="http://schemas.openxmlformats.org/officeDocument/2006/relationships/hyperlink" Target="https://www.rockwellautomation.com/es-co/products/hardware/hmi/2711p-panelview-plus-7.html" TargetMode="External"/><Relationship Id="rId7" Type="http://schemas.openxmlformats.org/officeDocument/2006/relationships/hyperlink" Target="https://www.traceparts.com/en/search/robo-fencer-machine-guarding-gate-assemblies" TargetMode="External"/><Relationship Id="rId12" Type="http://schemas.openxmlformats.org/officeDocument/2006/relationships/hyperlink" Target="https://www.interroll.com/" TargetMode="External"/><Relationship Id="rId17" Type="http://schemas.openxmlformats.org/officeDocument/2006/relationships/hyperlink" Target="https://literature.rockwellautomation.com/idc/groups/literature/documents/um/1756-um058_-es-p.pdf" TargetMode="External"/><Relationship Id="rId25" Type="http://schemas.openxmlformats.org/officeDocument/2006/relationships/hyperlink" Target="https://www.phoenixcontact.com/es-pc/cat/m12-ethernet-connectors-1592" TargetMode="External"/><Relationship Id="rId2" Type="http://schemas.openxmlformats.org/officeDocument/2006/relationships/hyperlink" Target="https://new.abb.com/products/robotics/controllers/omnicore" TargetMode="External"/><Relationship Id="rId16" Type="http://schemas.openxmlformats.org/officeDocument/2006/relationships/hyperlink" Target="https://literature.rockwellautomation.com/idc/groups/literature/documents/in/1756-in619_-es-p.pdf" TargetMode="External"/><Relationship Id="rId20" Type="http://schemas.openxmlformats.org/officeDocument/2006/relationships/hyperlink" Target="https://literature.rockwellautomation.com/idc/groups/literature/documents/um/1756-um009_-es-p.pdf" TargetMode="External"/><Relationship Id="rId29" Type="http://schemas.openxmlformats.org/officeDocument/2006/relationships/hyperlink" Target="https://www.rockwellautomation.com/" TargetMode="External"/><Relationship Id="rId1" Type="http://schemas.openxmlformats.org/officeDocument/2006/relationships/hyperlink" Target="https://new.abb.com/products/robotics/industrial-robots/irb-460" TargetMode="External"/><Relationship Id="rId6" Type="http://schemas.openxmlformats.org/officeDocument/2006/relationships/hyperlink" Target="https://www.traceparts.com/en/search/robo-fencer-machine-guarding-gate-assemblies" TargetMode="External"/><Relationship Id="rId11" Type="http://schemas.openxmlformats.org/officeDocument/2006/relationships/hyperlink" Target="https://www.interroll.com/" TargetMode="External"/><Relationship Id="rId24" Type="http://schemas.openxmlformats.org/officeDocument/2006/relationships/hyperlink" Target="https://www.belden.com/products/cable/ethernet-cable/category-6-cable" TargetMode="External"/><Relationship Id="rId5" Type="http://schemas.openxmlformats.org/officeDocument/2006/relationships/hyperlink" Target="https://www.patlite.com/" TargetMode="External"/><Relationship Id="rId15" Type="http://schemas.openxmlformats.org/officeDocument/2006/relationships/hyperlink" Target="https://www.rockwellautomation.com/" TargetMode="External"/><Relationship Id="rId23" Type="http://schemas.openxmlformats.org/officeDocument/2006/relationships/hyperlink" Target="https://www.phoenixcontact.com/en-pc/products/industrial-communication/installation-technology-and-accessories/patch-panels" TargetMode="External"/><Relationship Id="rId28" Type="http://schemas.openxmlformats.org/officeDocument/2006/relationships/hyperlink" Target="https://www.rockwellautomation.com/" TargetMode="External"/><Relationship Id="rId10" Type="http://schemas.openxmlformats.org/officeDocument/2006/relationships/hyperlink" Target="https://www.orbiscorporation.com/" TargetMode="External"/><Relationship Id="rId19" Type="http://schemas.openxmlformats.org/officeDocument/2006/relationships/hyperlink" Target="https://literature.rockwellautomation.com/idc/groups/literature/documents/um/1756-um009_-es-p.pdf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reersafety.com/" TargetMode="External"/><Relationship Id="rId9" Type="http://schemas.openxmlformats.org/officeDocument/2006/relationships/hyperlink" Target="https://www.qimarox.com/" TargetMode="External"/><Relationship Id="rId14" Type="http://schemas.openxmlformats.org/officeDocument/2006/relationships/hyperlink" Target="https://www.rockwellautomation.com/es-co/products/hardware/programmable-controllers/1756controllogix5580.html" TargetMode="External"/><Relationship Id="rId22" Type="http://schemas.openxmlformats.org/officeDocument/2006/relationships/hyperlink" Target="https://www.rockwellautomation.com/es-co/products/hardware/industrial-network-products/stratix-5700-industrial.html" TargetMode="External"/><Relationship Id="rId27" Type="http://schemas.openxmlformats.org/officeDocument/2006/relationships/hyperlink" Target="https://plm.sw.siemens.com/" TargetMode="External"/><Relationship Id="rId30" Type="http://schemas.openxmlformats.org/officeDocument/2006/relationships/hyperlink" Target="https://www.rockwellautomatio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0E53-4637-4803-81A5-333E732FEE1D}">
  <dimension ref="A1:G36"/>
  <sheetViews>
    <sheetView topLeftCell="A11" zoomScale="53" workbookViewId="0">
      <selection activeCell="B28" sqref="B28"/>
    </sheetView>
  </sheetViews>
  <sheetFormatPr baseColWidth="10" defaultRowHeight="14.4" x14ac:dyDescent="0.3"/>
  <cols>
    <col min="1" max="1" width="9.6640625" bestFit="1" customWidth="1"/>
    <col min="2" max="3" width="11.21875" bestFit="1" customWidth="1"/>
    <col min="4" max="4" width="5.6640625" bestFit="1" customWidth="1"/>
    <col min="5" max="5" width="15.21875" bestFit="1" customWidth="1"/>
    <col min="6" max="6" width="24.44140625" customWidth="1"/>
    <col min="7" max="7" width="240.109375" bestFit="1" customWidth="1"/>
  </cols>
  <sheetData>
    <row r="1" spans="1:7" ht="27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</row>
    <row r="2" spans="1:7" ht="27" x14ac:dyDescent="0.3">
      <c r="A2" s="6" t="s">
        <v>7</v>
      </c>
      <c r="B2" s="6" t="s">
        <v>8</v>
      </c>
      <c r="C2" s="6" t="s">
        <v>9</v>
      </c>
      <c r="D2" s="7">
        <v>1</v>
      </c>
      <c r="E2" s="8">
        <v>230000000</v>
      </c>
      <c r="F2" s="8">
        <v>230000000</v>
      </c>
      <c r="G2" s="9" t="s">
        <v>10</v>
      </c>
    </row>
    <row r="3" spans="1:7" ht="40.200000000000003" x14ac:dyDescent="0.3">
      <c r="A3" s="6" t="s">
        <v>7</v>
      </c>
      <c r="B3" s="6" t="s">
        <v>11</v>
      </c>
      <c r="C3" s="6" t="s">
        <v>12</v>
      </c>
      <c r="D3" s="7">
        <v>1</v>
      </c>
      <c r="E3" s="7" t="s">
        <v>13</v>
      </c>
      <c r="F3" s="7" t="s">
        <v>13</v>
      </c>
      <c r="G3" s="9" t="s">
        <v>14</v>
      </c>
    </row>
    <row r="4" spans="1:7" ht="40.200000000000003" x14ac:dyDescent="0.3">
      <c r="A4" s="6" t="s">
        <v>7</v>
      </c>
      <c r="B4" s="6" t="s">
        <v>15</v>
      </c>
      <c r="C4" s="6" t="s">
        <v>16</v>
      </c>
      <c r="D4" s="7">
        <v>1</v>
      </c>
      <c r="E4" s="8">
        <v>28000000</v>
      </c>
      <c r="F4" s="8">
        <v>28000000</v>
      </c>
      <c r="G4" s="9" t="s">
        <v>17</v>
      </c>
    </row>
    <row r="5" spans="1:7" ht="27" x14ac:dyDescent="0.3">
      <c r="A5" s="6" t="s">
        <v>18</v>
      </c>
      <c r="B5" s="6" t="s">
        <v>19</v>
      </c>
      <c r="C5" s="6" t="s">
        <v>20</v>
      </c>
      <c r="D5" s="7">
        <v>3</v>
      </c>
      <c r="E5" s="8">
        <v>6500000</v>
      </c>
      <c r="F5" s="8">
        <v>19500000</v>
      </c>
      <c r="G5" s="9" t="s">
        <v>21</v>
      </c>
    </row>
    <row r="6" spans="1:7" ht="27" x14ac:dyDescent="0.3">
      <c r="A6" s="6" t="s">
        <v>18</v>
      </c>
      <c r="B6" s="6" t="s">
        <v>22</v>
      </c>
      <c r="C6" s="6" t="s">
        <v>23</v>
      </c>
      <c r="D6" s="7">
        <v>2</v>
      </c>
      <c r="E6" s="8">
        <v>450000</v>
      </c>
      <c r="F6" s="8">
        <v>900000</v>
      </c>
      <c r="G6" s="9" t="s">
        <v>24</v>
      </c>
    </row>
    <row r="7" spans="1:7" ht="27" x14ac:dyDescent="0.3">
      <c r="A7" s="6" t="s">
        <v>18</v>
      </c>
      <c r="B7" s="6" t="s">
        <v>25</v>
      </c>
      <c r="C7" s="6" t="s">
        <v>26</v>
      </c>
      <c r="D7" s="7">
        <v>19</v>
      </c>
      <c r="E7" s="8">
        <v>1800000</v>
      </c>
      <c r="F7" s="8">
        <v>34200000</v>
      </c>
      <c r="G7" s="10" t="s">
        <v>27</v>
      </c>
    </row>
    <row r="8" spans="1:7" ht="27" x14ac:dyDescent="0.3">
      <c r="A8" s="6" t="s">
        <v>18</v>
      </c>
      <c r="B8" s="6" t="s">
        <v>28</v>
      </c>
      <c r="C8" s="6" t="s">
        <v>29</v>
      </c>
      <c r="D8" s="7">
        <v>1</v>
      </c>
      <c r="E8" s="8">
        <v>4500000</v>
      </c>
      <c r="F8" s="8">
        <v>4500000</v>
      </c>
      <c r="G8" s="10" t="s">
        <v>30</v>
      </c>
    </row>
    <row r="9" spans="1:7" ht="27" x14ac:dyDescent="0.3">
      <c r="A9" s="6" t="s">
        <v>31</v>
      </c>
      <c r="B9" s="6" t="s">
        <v>32</v>
      </c>
      <c r="C9" s="6" t="s">
        <v>33</v>
      </c>
      <c r="D9" s="7">
        <v>1</v>
      </c>
      <c r="E9" s="8">
        <v>2500000</v>
      </c>
      <c r="F9" s="8">
        <v>2500000</v>
      </c>
      <c r="G9" s="9" t="s">
        <v>34</v>
      </c>
    </row>
    <row r="10" spans="1:7" ht="27" x14ac:dyDescent="0.3">
      <c r="A10" s="6" t="s">
        <v>35</v>
      </c>
      <c r="B10" s="6" t="s">
        <v>36</v>
      </c>
      <c r="C10" s="6" t="s">
        <v>37</v>
      </c>
      <c r="D10" s="7">
        <v>1</v>
      </c>
      <c r="E10" s="8">
        <v>42000000</v>
      </c>
      <c r="F10" s="8">
        <v>42000000</v>
      </c>
      <c r="G10" s="9" t="s">
        <v>38</v>
      </c>
    </row>
    <row r="11" spans="1:7" ht="27" x14ac:dyDescent="0.3">
      <c r="A11" s="6" t="s">
        <v>35</v>
      </c>
      <c r="B11" s="6" t="s">
        <v>39</v>
      </c>
      <c r="C11" s="6" t="s">
        <v>40</v>
      </c>
      <c r="D11" s="7">
        <v>20</v>
      </c>
      <c r="E11" s="8">
        <v>280000</v>
      </c>
      <c r="F11" s="8">
        <v>5600000</v>
      </c>
      <c r="G11" s="9" t="s">
        <v>41</v>
      </c>
    </row>
    <row r="12" spans="1:7" ht="27" x14ac:dyDescent="0.3">
      <c r="A12" s="6" t="s">
        <v>42</v>
      </c>
      <c r="B12" s="6" t="s">
        <v>43</v>
      </c>
      <c r="C12" s="6" t="s">
        <v>44</v>
      </c>
      <c r="D12" s="7">
        <v>2</v>
      </c>
      <c r="E12" s="8">
        <v>28000000</v>
      </c>
      <c r="F12" s="8">
        <v>56000000</v>
      </c>
      <c r="G12" s="9" t="s">
        <v>45</v>
      </c>
    </row>
    <row r="13" spans="1:7" ht="27" x14ac:dyDescent="0.3">
      <c r="A13" s="6" t="s">
        <v>42</v>
      </c>
      <c r="B13" s="6" t="s">
        <v>46</v>
      </c>
      <c r="C13" s="6" t="s">
        <v>44</v>
      </c>
      <c r="D13" s="7">
        <v>1</v>
      </c>
      <c r="E13" s="8">
        <v>18000000</v>
      </c>
      <c r="F13" s="8">
        <v>18000000</v>
      </c>
      <c r="G13" s="9" t="s">
        <v>45</v>
      </c>
    </row>
    <row r="14" spans="1:7" ht="27" x14ac:dyDescent="0.3">
      <c r="A14" s="6" t="s">
        <v>47</v>
      </c>
      <c r="B14" s="6" t="s">
        <v>48</v>
      </c>
      <c r="C14" s="6" t="s">
        <v>49</v>
      </c>
      <c r="D14" s="7">
        <v>1</v>
      </c>
      <c r="E14" s="8">
        <v>8500000</v>
      </c>
      <c r="F14" s="8">
        <v>8500000</v>
      </c>
      <c r="G14" s="9" t="s">
        <v>50</v>
      </c>
    </row>
    <row r="15" spans="1:7" ht="53.4" x14ac:dyDescent="0.3">
      <c r="A15" s="6" t="s">
        <v>51</v>
      </c>
      <c r="B15" s="6" t="s">
        <v>52</v>
      </c>
      <c r="C15" s="6" t="s">
        <v>53</v>
      </c>
      <c r="D15" s="7">
        <v>1</v>
      </c>
      <c r="E15" s="8">
        <v>75000000</v>
      </c>
      <c r="F15" s="8">
        <v>75000000</v>
      </c>
      <c r="G15" s="9" t="s">
        <v>54</v>
      </c>
    </row>
    <row r="16" spans="1:7" x14ac:dyDescent="0.3">
      <c r="A16" s="6" t="s">
        <v>51</v>
      </c>
      <c r="B16" s="6" t="s">
        <v>55</v>
      </c>
      <c r="C16" s="6" t="s">
        <v>56</v>
      </c>
      <c r="D16" s="7">
        <v>1</v>
      </c>
      <c r="E16" s="8">
        <v>7000000</v>
      </c>
      <c r="F16" s="8">
        <v>7000000</v>
      </c>
      <c r="G16" s="9" t="s">
        <v>57</v>
      </c>
    </row>
    <row r="17" spans="1:7" x14ac:dyDescent="0.3">
      <c r="A17" s="6" t="s">
        <v>51</v>
      </c>
      <c r="B17" s="6" t="s">
        <v>58</v>
      </c>
      <c r="C17" s="6" t="s">
        <v>59</v>
      </c>
      <c r="D17" s="7">
        <v>1</v>
      </c>
      <c r="E17" s="8">
        <v>4000000</v>
      </c>
      <c r="F17" s="8">
        <v>4000000</v>
      </c>
      <c r="G17" s="9" t="s">
        <v>60</v>
      </c>
    </row>
    <row r="18" spans="1:7" ht="27" x14ac:dyDescent="0.3">
      <c r="A18" s="6" t="s">
        <v>51</v>
      </c>
      <c r="B18" s="6" t="s">
        <v>61</v>
      </c>
      <c r="C18" s="6" t="s">
        <v>62</v>
      </c>
      <c r="D18" s="7">
        <v>2</v>
      </c>
      <c r="E18" s="8">
        <v>5500000</v>
      </c>
      <c r="F18" s="8">
        <v>11000000</v>
      </c>
      <c r="G18" s="9" t="s">
        <v>63</v>
      </c>
    </row>
    <row r="19" spans="1:7" ht="27" x14ac:dyDescent="0.3">
      <c r="A19" s="6" t="s">
        <v>51</v>
      </c>
      <c r="B19" s="6" t="s">
        <v>64</v>
      </c>
      <c r="C19" s="6" t="s">
        <v>65</v>
      </c>
      <c r="D19" s="7">
        <v>2</v>
      </c>
      <c r="E19" s="8">
        <v>5500000</v>
      </c>
      <c r="F19" s="8">
        <v>11000000</v>
      </c>
      <c r="G19" s="9" t="s">
        <v>63</v>
      </c>
    </row>
    <row r="20" spans="1:7" ht="27" x14ac:dyDescent="0.3">
      <c r="A20" s="6" t="s">
        <v>51</v>
      </c>
      <c r="B20" s="6" t="s">
        <v>66</v>
      </c>
      <c r="C20" s="6" t="s">
        <v>67</v>
      </c>
      <c r="D20" s="7">
        <v>1</v>
      </c>
      <c r="E20" s="8">
        <v>5500000</v>
      </c>
      <c r="F20" s="8">
        <v>5500000</v>
      </c>
      <c r="G20" s="9" t="s">
        <v>68</v>
      </c>
    </row>
    <row r="21" spans="1:7" ht="27" x14ac:dyDescent="0.3">
      <c r="A21" s="6" t="s">
        <v>51</v>
      </c>
      <c r="B21" s="6" t="s">
        <v>69</v>
      </c>
      <c r="C21" s="6" t="s">
        <v>70</v>
      </c>
      <c r="D21" s="7">
        <v>1</v>
      </c>
      <c r="E21" s="8">
        <v>5500000</v>
      </c>
      <c r="F21" s="8">
        <v>5500000</v>
      </c>
      <c r="G21" s="9" t="s">
        <v>68</v>
      </c>
    </row>
    <row r="22" spans="1:7" ht="27" x14ac:dyDescent="0.3">
      <c r="A22" s="6" t="s">
        <v>31</v>
      </c>
      <c r="B22" s="6" t="s">
        <v>71</v>
      </c>
      <c r="C22" s="6" t="s">
        <v>72</v>
      </c>
      <c r="D22" s="7">
        <v>1</v>
      </c>
      <c r="E22" s="8">
        <v>14000000</v>
      </c>
      <c r="F22" s="8">
        <v>14000000</v>
      </c>
      <c r="G22" s="9" t="s">
        <v>73</v>
      </c>
    </row>
    <row r="23" spans="1:7" ht="27" x14ac:dyDescent="0.3">
      <c r="A23" s="6" t="s">
        <v>74</v>
      </c>
      <c r="B23" s="6" t="s">
        <v>75</v>
      </c>
      <c r="C23" s="6" t="s">
        <v>76</v>
      </c>
      <c r="D23" s="7">
        <v>1</v>
      </c>
      <c r="E23" s="8">
        <v>9500000</v>
      </c>
      <c r="F23" s="8">
        <v>9500000</v>
      </c>
      <c r="G23" s="9" t="s">
        <v>77</v>
      </c>
    </row>
    <row r="24" spans="1:7" ht="27" x14ac:dyDescent="0.3">
      <c r="A24" s="6" t="s">
        <v>74</v>
      </c>
      <c r="B24" s="6" t="s">
        <v>78</v>
      </c>
      <c r="C24" s="6" t="s">
        <v>79</v>
      </c>
      <c r="D24" s="7">
        <v>1</v>
      </c>
      <c r="E24" s="8">
        <v>1500000</v>
      </c>
      <c r="F24" s="8">
        <v>1500000</v>
      </c>
      <c r="G24" s="9" t="s">
        <v>80</v>
      </c>
    </row>
    <row r="25" spans="1:7" ht="40.200000000000003" x14ac:dyDescent="0.3">
      <c r="A25" s="6" t="s">
        <v>74</v>
      </c>
      <c r="B25" s="6" t="s">
        <v>81</v>
      </c>
      <c r="C25" s="6" t="s">
        <v>79</v>
      </c>
      <c r="D25" s="7" t="s">
        <v>82</v>
      </c>
      <c r="E25" s="8">
        <v>8000000</v>
      </c>
      <c r="F25" s="8">
        <v>8000000</v>
      </c>
      <c r="G25" s="9" t="s">
        <v>83</v>
      </c>
    </row>
    <row r="26" spans="1:7" ht="27" x14ac:dyDescent="0.3">
      <c r="A26" s="6" t="s">
        <v>74</v>
      </c>
      <c r="B26" s="6" t="s">
        <v>84</v>
      </c>
      <c r="C26" s="6" t="s">
        <v>85</v>
      </c>
      <c r="D26" s="7">
        <v>30</v>
      </c>
      <c r="E26" s="8">
        <v>80000</v>
      </c>
      <c r="F26" s="8">
        <v>2400000</v>
      </c>
      <c r="G26" s="9" t="s">
        <v>86</v>
      </c>
    </row>
    <row r="27" spans="1:7" ht="27" x14ac:dyDescent="0.3">
      <c r="A27" s="6" t="s">
        <v>87</v>
      </c>
      <c r="B27" s="6" t="s">
        <v>88</v>
      </c>
      <c r="C27" s="6" t="s">
        <v>89</v>
      </c>
      <c r="D27" s="7">
        <v>1</v>
      </c>
      <c r="E27" s="8">
        <v>32000000</v>
      </c>
      <c r="F27" s="8">
        <v>32000000</v>
      </c>
      <c r="G27" s="9" t="s">
        <v>90</v>
      </c>
    </row>
    <row r="28" spans="1:7" ht="40.200000000000003" x14ac:dyDescent="0.3">
      <c r="A28" s="6" t="s">
        <v>87</v>
      </c>
      <c r="B28" s="6" t="s">
        <v>113</v>
      </c>
      <c r="C28" s="6" t="s">
        <v>89</v>
      </c>
      <c r="D28" s="7">
        <v>1</v>
      </c>
      <c r="E28" s="8">
        <v>22100000</v>
      </c>
      <c r="F28" s="8">
        <v>22100000</v>
      </c>
      <c r="G28" s="9" t="s">
        <v>112</v>
      </c>
    </row>
    <row r="29" spans="1:7" ht="53.4" x14ac:dyDescent="0.3">
      <c r="A29" s="6" t="s">
        <v>87</v>
      </c>
      <c r="B29" s="6" t="s">
        <v>91</v>
      </c>
      <c r="C29" s="6" t="s">
        <v>89</v>
      </c>
      <c r="D29" s="7">
        <v>1</v>
      </c>
      <c r="E29" s="8">
        <v>38000000</v>
      </c>
      <c r="F29" s="8">
        <v>38000000</v>
      </c>
      <c r="G29" s="9" t="s">
        <v>92</v>
      </c>
    </row>
    <row r="30" spans="1:7" ht="27" x14ac:dyDescent="0.3">
      <c r="A30" s="6" t="s">
        <v>87</v>
      </c>
      <c r="B30" s="6" t="s">
        <v>114</v>
      </c>
      <c r="C30" s="6" t="s">
        <v>89</v>
      </c>
      <c r="D30" s="7">
        <v>1</v>
      </c>
      <c r="E30" s="8">
        <v>17500000</v>
      </c>
      <c r="F30" s="8">
        <v>17500000</v>
      </c>
      <c r="G30" s="9" t="s">
        <v>115</v>
      </c>
    </row>
    <row r="31" spans="1:7" ht="40.200000000000003" x14ac:dyDescent="0.3">
      <c r="A31" s="6" t="s">
        <v>87</v>
      </c>
      <c r="B31" s="6" t="s">
        <v>93</v>
      </c>
      <c r="C31" s="6" t="s">
        <v>94</v>
      </c>
      <c r="D31" s="7">
        <v>1</v>
      </c>
      <c r="E31" s="8">
        <v>22000000</v>
      </c>
      <c r="F31" s="8">
        <v>22000000</v>
      </c>
      <c r="G31" s="9" t="s">
        <v>95</v>
      </c>
    </row>
    <row r="32" spans="1:7" ht="27" x14ac:dyDescent="0.3">
      <c r="A32" s="6" t="s">
        <v>87</v>
      </c>
      <c r="B32" s="6" t="s">
        <v>96</v>
      </c>
      <c r="C32" s="6" t="s">
        <v>97</v>
      </c>
      <c r="D32" s="7">
        <v>1</v>
      </c>
      <c r="E32" s="8">
        <v>12000000</v>
      </c>
      <c r="F32" s="8">
        <v>12000000</v>
      </c>
      <c r="G32" s="9" t="s">
        <v>95</v>
      </c>
    </row>
    <row r="33" spans="1:7" ht="27" x14ac:dyDescent="0.3">
      <c r="A33" s="6" t="s">
        <v>87</v>
      </c>
      <c r="B33" s="6" t="s">
        <v>98</v>
      </c>
      <c r="C33" s="6" t="s">
        <v>99</v>
      </c>
      <c r="D33" s="7">
        <v>1</v>
      </c>
      <c r="E33" s="8">
        <v>3500000</v>
      </c>
      <c r="F33" s="8">
        <v>3500000</v>
      </c>
      <c r="G33" s="9" t="s">
        <v>95</v>
      </c>
    </row>
    <row r="36" spans="1:7" x14ac:dyDescent="0.3">
      <c r="E36" s="2" t="s">
        <v>100</v>
      </c>
      <c r="F36" s="3">
        <f>SUM(F2:F33)</f>
        <v>751200000</v>
      </c>
    </row>
  </sheetData>
  <hyperlinks>
    <hyperlink ref="G2" r:id="rId1" xr:uid="{3CBB2EEE-96E6-42B3-B9EC-B19C1FAE0E43}"/>
    <hyperlink ref="G3" r:id="rId2" xr:uid="{6CF8B2A1-2513-4A4B-8B37-415F561DA4D9}"/>
    <hyperlink ref="G4" r:id="rId3" xr:uid="{0CBD0F74-E03F-4618-804E-CA6628B22A1C}"/>
    <hyperlink ref="G5" r:id="rId4" display="https://www.reersafety.com/" xr:uid="{6762FEB8-5395-4220-9191-61D9024D91F8}"/>
    <hyperlink ref="G6" r:id="rId5" display="https://www.patlite.com/" xr:uid="{F7696AE2-E9BB-4191-9B42-E0AA13E4DB61}"/>
    <hyperlink ref="G7" r:id="rId6" display="https://www.traceparts.com/en/search/robo-fencer-machine-guarding-gate-assemblies" xr:uid="{9F8FB6EE-F067-45A7-95F9-3271E60A05DB}"/>
    <hyperlink ref="G8" r:id="rId7" display="https://www.traceparts.com/en/search/robo-fencer-machine-guarding-gate-assemblies" xr:uid="{3BED0FFD-786B-4600-B6BC-81BB74EB95BC}"/>
    <hyperlink ref="G9" r:id="rId8" display="https://www.rittal.com/" xr:uid="{42C2FA3C-49CE-4524-89AA-043DAEA4144F}"/>
    <hyperlink ref="G10" r:id="rId9" display="https://www.qimarox.com/" xr:uid="{C52EC8B4-FA56-45E7-908B-2F92A4AD7E30}"/>
    <hyperlink ref="G11" r:id="rId10" display="https://www.orbiscorporation.com/" xr:uid="{14F9F2C0-963B-4E38-89CA-58392B4FA4DB}"/>
    <hyperlink ref="G12" r:id="rId11" display="https://www.interroll.com/" xr:uid="{89AD0D47-19BE-43E1-B2C1-53D4063F5B7E}"/>
    <hyperlink ref="G13" r:id="rId12" display="https://www.interroll.com/" xr:uid="{332ACA57-9F19-4F48-888E-78BBD57BA46B}"/>
    <hyperlink ref="G14" r:id="rId13" display="https://www.rittal.com/" xr:uid="{1D9661D1-0DCA-4A89-A700-94B9E8C1DE5E}"/>
    <hyperlink ref="G15" r:id="rId14" xr:uid="{499583A2-5F4A-4981-A0BB-48651CDE3A76}"/>
    <hyperlink ref="G16" r:id="rId15" display="https://www.rockwellautomation.com/" xr:uid="{21206AF9-FE53-40D3-A35E-542BD7645619}"/>
    <hyperlink ref="G17" r:id="rId16" xr:uid="{32BAD414-08BC-4B9E-BA1F-FB359744329F}"/>
    <hyperlink ref="G18" r:id="rId17" xr:uid="{7264D1F7-A863-4773-ABB4-04FC0D8E3271}"/>
    <hyperlink ref="G19" r:id="rId18" xr:uid="{95EF3462-E487-4EAC-ACB2-254BD6890633}"/>
    <hyperlink ref="G20" r:id="rId19" xr:uid="{8F671A23-50CF-43F5-A001-C09E1C190E70}"/>
    <hyperlink ref="G21" r:id="rId20" xr:uid="{3127FDB2-FA4B-4E6B-B0F3-99A881F05495}"/>
    <hyperlink ref="G22" r:id="rId21" xr:uid="{F0C55B97-971E-4A87-B3D3-C33DFA3B1E10}"/>
    <hyperlink ref="G23" r:id="rId22" xr:uid="{0827A534-4518-49AA-875A-3BB84BD96A8E}"/>
    <hyperlink ref="G24" r:id="rId23" xr:uid="{E1DC4F28-6D59-4296-8A31-178526FD1088}"/>
    <hyperlink ref="G25" r:id="rId24" xr:uid="{4DEFBB97-F8A4-483C-BC92-A323C57E8DA1}"/>
    <hyperlink ref="G26" r:id="rId25" xr:uid="{3E471242-E638-4C9A-BC68-07C625FB1C19}"/>
    <hyperlink ref="G27" r:id="rId26" xr:uid="{EFCEAF4F-E30A-4341-A3E8-E0185C4F48EB}"/>
    <hyperlink ref="G29" r:id="rId27" display="https://plm.sw.siemens.com/" xr:uid="{A982D4F4-ADBC-45CE-B1EE-A59F54CC5B0C}"/>
    <hyperlink ref="G31" r:id="rId28" display="https://www.rockwellautomation.com/" xr:uid="{95E46444-EC0A-4956-ABBC-A82B4B275250}"/>
    <hyperlink ref="G32" r:id="rId29" display="https://www.rockwellautomation.com/" xr:uid="{05BC50B0-0C8F-48BC-996E-269E51542DD8}"/>
    <hyperlink ref="G33" r:id="rId30" display="https://www.rockwellautomation.com/" xr:uid="{E09681CD-E44A-451D-B2A1-759EE7E59176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DDC2-C8BC-467E-8F9C-463B3FB16B97}">
  <dimension ref="A1:H30"/>
  <sheetViews>
    <sheetView topLeftCell="A8" workbookViewId="0">
      <selection activeCell="B27" sqref="B27"/>
    </sheetView>
  </sheetViews>
  <sheetFormatPr baseColWidth="10" defaultRowHeight="14.4" x14ac:dyDescent="0.3"/>
  <cols>
    <col min="1" max="1" width="33" customWidth="1"/>
    <col min="2" max="2" width="24.88671875" customWidth="1"/>
    <col min="4" max="4" width="37.21875" customWidth="1"/>
    <col min="5" max="5" width="12.33203125" bestFit="1" customWidth="1"/>
    <col min="7" max="7" width="40" customWidth="1"/>
  </cols>
  <sheetData>
    <row r="1" spans="1:5" ht="15.6" thickTop="1" thickBot="1" x14ac:dyDescent="0.35">
      <c r="A1" s="16" t="s">
        <v>101</v>
      </c>
      <c r="B1" s="17"/>
      <c r="D1" s="27" t="s">
        <v>121</v>
      </c>
      <c r="E1" s="28"/>
    </row>
    <row r="2" spans="1:5" ht="15.6" thickTop="1" thickBot="1" x14ac:dyDescent="0.35">
      <c r="A2" s="11" t="s">
        <v>102</v>
      </c>
      <c r="B2" s="12" t="s">
        <v>103</v>
      </c>
      <c r="D2" s="22" t="s">
        <v>122</v>
      </c>
      <c r="E2" s="23" t="s">
        <v>123</v>
      </c>
    </row>
    <row r="3" spans="1:5" ht="15.6" thickTop="1" thickBot="1" x14ac:dyDescent="0.35">
      <c r="A3" s="13" t="s">
        <v>104</v>
      </c>
      <c r="B3" s="15">
        <v>-5000000</v>
      </c>
      <c r="D3" s="24" t="s">
        <v>124</v>
      </c>
      <c r="E3" s="25">
        <v>9</v>
      </c>
    </row>
    <row r="4" spans="1:5" ht="15.6" thickTop="1" thickBot="1" x14ac:dyDescent="0.35">
      <c r="A4" s="13" t="s">
        <v>254</v>
      </c>
      <c r="B4" s="15">
        <v>-12000000</v>
      </c>
      <c r="D4" s="24"/>
      <c r="E4" s="25"/>
    </row>
    <row r="5" spans="1:5" ht="15.6" thickTop="1" thickBot="1" x14ac:dyDescent="0.35">
      <c r="A5" s="13" t="s">
        <v>105</v>
      </c>
      <c r="B5" s="15">
        <f>-1*E8</f>
        <v>-32400000</v>
      </c>
      <c r="D5" s="24" t="s">
        <v>125</v>
      </c>
      <c r="E5" s="25">
        <v>16</v>
      </c>
    </row>
    <row r="6" spans="1:5" ht="15.6" thickTop="1" thickBot="1" x14ac:dyDescent="0.35">
      <c r="A6" s="13" t="s">
        <v>106</v>
      </c>
      <c r="B6" s="15">
        <f>-1*(Adquisiciones!E31+Adquisiciones!E32+Adquisiciones!E33)</f>
        <v>-37500000</v>
      </c>
      <c r="D6" s="24" t="s">
        <v>126</v>
      </c>
      <c r="E6" s="25">
        <v>300</v>
      </c>
    </row>
    <row r="7" spans="1:5" ht="15.6" thickTop="1" thickBot="1" x14ac:dyDescent="0.35">
      <c r="A7" s="13" t="s">
        <v>107</v>
      </c>
      <c r="B7" s="15">
        <f>-1*(Adquisiciones!F28)</f>
        <v>-22100000</v>
      </c>
      <c r="D7" s="24" t="s">
        <v>127</v>
      </c>
      <c r="E7" s="26">
        <v>750</v>
      </c>
    </row>
    <row r="8" spans="1:5" ht="15.6" thickTop="1" thickBot="1" x14ac:dyDescent="0.35">
      <c r="A8" s="13" t="s">
        <v>116</v>
      </c>
      <c r="B8" s="15">
        <f>-1*(Adquisiciones!F30)</f>
        <v>-17500000</v>
      </c>
      <c r="D8" s="11" t="s">
        <v>100</v>
      </c>
      <c r="E8" s="15">
        <f>E3*E5*E6*E7</f>
        <v>32400000</v>
      </c>
    </row>
    <row r="9" spans="1:5" ht="15.6" thickTop="1" thickBot="1" x14ac:dyDescent="0.35">
      <c r="A9" s="13" t="s">
        <v>108</v>
      </c>
      <c r="B9" s="15">
        <f>-1*(Adquisiciones!F29)</f>
        <v>-38000000</v>
      </c>
    </row>
    <row r="10" spans="1:5" ht="15.6" thickTop="1" thickBot="1" x14ac:dyDescent="0.35">
      <c r="A10" s="13" t="s">
        <v>255</v>
      </c>
      <c r="B10" s="15">
        <v>-8000000</v>
      </c>
    </row>
    <row r="11" spans="1:5" ht="15.6" thickTop="1" thickBot="1" x14ac:dyDescent="0.35">
      <c r="A11" s="11" t="s">
        <v>100</v>
      </c>
      <c r="B11" s="15">
        <f>SUM(B3:B10)</f>
        <v>-172500000</v>
      </c>
    </row>
    <row r="12" spans="1:5" ht="15.6" thickTop="1" thickBot="1" x14ac:dyDescent="0.35"/>
    <row r="13" spans="1:5" ht="15.6" thickTop="1" thickBot="1" x14ac:dyDescent="0.35">
      <c r="A13" s="16" t="s">
        <v>109</v>
      </c>
      <c r="B13" s="17"/>
      <c r="D13" s="27" t="s">
        <v>128</v>
      </c>
      <c r="E13" s="28"/>
    </row>
    <row r="14" spans="1:5" ht="27.6" thickTop="1" thickBot="1" x14ac:dyDescent="0.35">
      <c r="A14" s="11" t="s">
        <v>102</v>
      </c>
      <c r="B14" s="12" t="s">
        <v>103</v>
      </c>
      <c r="D14" s="22" t="s">
        <v>102</v>
      </c>
      <c r="E14" s="23" t="s">
        <v>103</v>
      </c>
    </row>
    <row r="15" spans="1:5" ht="15.6" thickTop="1" thickBot="1" x14ac:dyDescent="0.35">
      <c r="A15" s="13" t="s">
        <v>110</v>
      </c>
      <c r="B15" s="20">
        <f>-1*Adquisiciones!F36-SUM(B6:B9)</f>
        <v>-636100000</v>
      </c>
      <c r="D15" s="13" t="s">
        <v>129</v>
      </c>
      <c r="E15" s="15">
        <v>5000000</v>
      </c>
    </row>
    <row r="16" spans="1:5" ht="15.6" thickTop="1" thickBot="1" x14ac:dyDescent="0.35">
      <c r="A16" s="13" t="s">
        <v>117</v>
      </c>
      <c r="B16" s="21">
        <f>0.1*B15</f>
        <v>-63610000</v>
      </c>
      <c r="D16" s="13" t="s">
        <v>130</v>
      </c>
      <c r="E16" s="15">
        <v>26100</v>
      </c>
    </row>
    <row r="17" spans="1:8" ht="15.6" thickTop="1" thickBot="1" x14ac:dyDescent="0.35">
      <c r="A17" s="13" t="s">
        <v>118</v>
      </c>
      <c r="B17" s="15">
        <v>-15000000</v>
      </c>
      <c r="D17" s="13" t="s">
        <v>131</v>
      </c>
      <c r="E17" s="15">
        <v>600000</v>
      </c>
    </row>
    <row r="18" spans="1:8" ht="15.6" thickTop="1" thickBot="1" x14ac:dyDescent="0.35">
      <c r="A18" s="13" t="s">
        <v>119</v>
      </c>
      <c r="B18" s="15">
        <v>-8000000</v>
      </c>
      <c r="D18" s="13" t="s">
        <v>132</v>
      </c>
      <c r="E18" s="15">
        <v>425000</v>
      </c>
    </row>
    <row r="19" spans="1:8" ht="15.6" thickTop="1" thickBot="1" x14ac:dyDescent="0.35">
      <c r="A19" s="13" t="s">
        <v>256</v>
      </c>
      <c r="B19" s="21">
        <v>20000000</v>
      </c>
      <c r="D19" s="13"/>
      <c r="E19" s="15"/>
    </row>
    <row r="20" spans="1:8" ht="15.6" thickTop="1" thickBot="1" x14ac:dyDescent="0.35">
      <c r="A20" s="13" t="s">
        <v>120</v>
      </c>
      <c r="B20" s="15">
        <f>-1*6*E21</f>
        <v>-37506600</v>
      </c>
      <c r="D20" s="13" t="s">
        <v>133</v>
      </c>
      <c r="E20" s="15">
        <v>200000</v>
      </c>
    </row>
    <row r="21" spans="1:8" ht="15.6" thickTop="1" thickBot="1" x14ac:dyDescent="0.35">
      <c r="A21" s="11" t="s">
        <v>100</v>
      </c>
      <c r="B21" s="18">
        <f>SUM(B15:B20)</f>
        <v>-740216600</v>
      </c>
      <c r="D21" s="11" t="s">
        <v>100</v>
      </c>
      <c r="E21" s="15">
        <v>6251100</v>
      </c>
    </row>
    <row r="22" spans="1:8" ht="15.6" thickTop="1" thickBot="1" x14ac:dyDescent="0.35"/>
    <row r="23" spans="1:8" ht="26.4" customHeight="1" thickTop="1" thickBot="1" x14ac:dyDescent="0.35">
      <c r="A23" s="16" t="s">
        <v>134</v>
      </c>
      <c r="B23" s="17"/>
      <c r="D23" s="29" t="s">
        <v>138</v>
      </c>
      <c r="E23" s="30"/>
      <c r="G23" s="29" t="s">
        <v>249</v>
      </c>
      <c r="H23" s="30"/>
    </row>
    <row r="24" spans="1:8" ht="15.6" thickTop="1" thickBot="1" x14ac:dyDescent="0.35">
      <c r="A24" s="11" t="s">
        <v>102</v>
      </c>
      <c r="B24" s="12" t="s">
        <v>103</v>
      </c>
      <c r="D24" s="22" t="s">
        <v>122</v>
      </c>
      <c r="E24" s="23" t="s">
        <v>139</v>
      </c>
      <c r="G24" s="22" t="s">
        <v>122</v>
      </c>
      <c r="H24" s="23" t="s">
        <v>139</v>
      </c>
    </row>
    <row r="25" spans="1:8" ht="15.6" thickTop="1" thickBot="1" x14ac:dyDescent="0.35">
      <c r="A25" s="13" t="s">
        <v>135</v>
      </c>
      <c r="B25" s="15">
        <f>E28</f>
        <v>60767424</v>
      </c>
      <c r="D25" s="13" t="s">
        <v>140</v>
      </c>
      <c r="E25" s="15">
        <v>15191856</v>
      </c>
      <c r="G25" s="13" t="s">
        <v>250</v>
      </c>
      <c r="H25" s="78">
        <v>1500</v>
      </c>
    </row>
    <row r="26" spans="1:8" ht="15.6" thickTop="1" thickBot="1" x14ac:dyDescent="0.35">
      <c r="A26" s="13" t="s">
        <v>136</v>
      </c>
      <c r="B26" s="109">
        <f>Producción!J59</f>
        <v>1058004883.5383224</v>
      </c>
      <c r="D26" s="13" t="s">
        <v>141</v>
      </c>
      <c r="E26" s="19">
        <v>2</v>
      </c>
      <c r="G26" s="13" t="s">
        <v>251</v>
      </c>
      <c r="H26" s="15">
        <v>2466</v>
      </c>
    </row>
    <row r="27" spans="1:8" ht="15.6" thickTop="1" thickBot="1" x14ac:dyDescent="0.35">
      <c r="A27" s="13" t="s">
        <v>137</v>
      </c>
      <c r="B27" s="15">
        <f>H29</f>
        <v>2465740</v>
      </c>
      <c r="D27" s="13" t="s">
        <v>142</v>
      </c>
      <c r="E27" s="19">
        <v>2</v>
      </c>
      <c r="G27" s="13" t="s">
        <v>252</v>
      </c>
      <c r="H27" s="19">
        <v>2</v>
      </c>
    </row>
    <row r="28" spans="1:8" ht="15.6" thickTop="1" thickBot="1" x14ac:dyDescent="0.35">
      <c r="A28" s="11" t="s">
        <v>100</v>
      </c>
      <c r="B28" s="15">
        <f>SUM(B25:B27)</f>
        <v>1121238047.5383224</v>
      </c>
      <c r="D28" s="11" t="s">
        <v>100</v>
      </c>
      <c r="E28" s="15">
        <v>60767424</v>
      </c>
      <c r="G28" s="13" t="s">
        <v>253</v>
      </c>
      <c r="H28" s="35">
        <v>0.33</v>
      </c>
    </row>
    <row r="29" spans="1:8" ht="15.6" thickTop="1" thickBot="1" x14ac:dyDescent="0.35">
      <c r="G29" s="11" t="s">
        <v>100</v>
      </c>
      <c r="H29" s="15">
        <v>2465740</v>
      </c>
    </row>
    <row r="30" spans="1:8" ht="15" thickTop="1" x14ac:dyDescent="0.3"/>
  </sheetData>
  <mergeCells count="7">
    <mergeCell ref="G23:H23"/>
    <mergeCell ref="A1:B1"/>
    <mergeCell ref="A13:B13"/>
    <mergeCell ref="D1:E1"/>
    <mergeCell ref="D13:E13"/>
    <mergeCell ref="A23:B23"/>
    <mergeCell ref="D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DDE6-5B76-4CBD-968A-FCC73C55E03A}">
  <dimension ref="A1:N68"/>
  <sheetViews>
    <sheetView topLeftCell="E27" zoomScale="60" zoomScaleNormal="60" workbookViewId="0">
      <selection activeCell="I50" sqref="I50"/>
    </sheetView>
  </sheetViews>
  <sheetFormatPr baseColWidth="10" defaultColWidth="24.6640625" defaultRowHeight="14.4" x14ac:dyDescent="0.3"/>
  <cols>
    <col min="1" max="1" width="37" customWidth="1"/>
    <col min="7" max="7" width="44.6640625" customWidth="1"/>
  </cols>
  <sheetData>
    <row r="1" spans="1:11" ht="15.6" thickTop="1" thickBot="1" x14ac:dyDescent="0.35">
      <c r="A1" s="63" t="s">
        <v>143</v>
      </c>
      <c r="B1" s="64"/>
      <c r="C1" s="31"/>
      <c r="D1" s="63" t="s">
        <v>144</v>
      </c>
      <c r="E1" s="64"/>
      <c r="F1" s="31"/>
      <c r="G1" s="31"/>
      <c r="H1" s="31"/>
      <c r="I1" s="31"/>
      <c r="J1" s="31"/>
      <c r="K1" s="31"/>
    </row>
    <row r="2" spans="1:11" ht="15.6" thickTop="1" thickBot="1" x14ac:dyDescent="0.35">
      <c r="A2" s="11" t="s">
        <v>145</v>
      </c>
      <c r="B2" s="12" t="s">
        <v>123</v>
      </c>
      <c r="C2" s="32"/>
      <c r="D2" s="12" t="s">
        <v>146</v>
      </c>
      <c r="E2" s="12" t="s">
        <v>147</v>
      </c>
      <c r="F2" s="32"/>
      <c r="G2" s="32"/>
      <c r="H2" s="32"/>
      <c r="I2" s="32"/>
      <c r="J2" s="32"/>
      <c r="K2" s="32"/>
    </row>
    <row r="3" spans="1:11" ht="15.6" thickTop="1" thickBot="1" x14ac:dyDescent="0.35">
      <c r="A3" s="13" t="s">
        <v>148</v>
      </c>
      <c r="B3" s="19">
        <v>1</v>
      </c>
      <c r="C3" s="32"/>
      <c r="D3" s="33" t="s">
        <v>149</v>
      </c>
      <c r="E3" s="101">
        <v>2</v>
      </c>
      <c r="F3" s="32"/>
      <c r="G3" s="32"/>
      <c r="H3" s="32"/>
      <c r="I3" s="32"/>
      <c r="J3" s="32"/>
      <c r="K3" s="32"/>
    </row>
    <row r="4" spans="1:11" ht="15.6" thickTop="1" thickBot="1" x14ac:dyDescent="0.35">
      <c r="A4" s="13" t="s">
        <v>150</v>
      </c>
      <c r="B4" s="19">
        <v>10</v>
      </c>
      <c r="C4" s="32"/>
      <c r="D4" s="33" t="s">
        <v>151</v>
      </c>
      <c r="E4" s="102">
        <v>1.75</v>
      </c>
      <c r="F4" s="32"/>
      <c r="G4" s="32"/>
      <c r="H4" s="32"/>
      <c r="I4" s="32"/>
      <c r="J4" s="32"/>
      <c r="K4" s="32"/>
    </row>
    <row r="5" spans="1:11" ht="15.6" thickTop="1" thickBot="1" x14ac:dyDescent="0.35">
      <c r="A5" s="13" t="s">
        <v>152</v>
      </c>
      <c r="B5" s="19">
        <v>20000</v>
      </c>
      <c r="C5" s="32"/>
      <c r="D5" s="33" t="s">
        <v>153</v>
      </c>
      <c r="E5" s="102">
        <v>1.5</v>
      </c>
      <c r="F5" s="32"/>
      <c r="G5" s="32"/>
      <c r="H5" s="32"/>
      <c r="I5" s="32"/>
      <c r="J5" s="32"/>
      <c r="K5" s="32"/>
    </row>
    <row r="6" spans="1:11" ht="15.6" thickTop="1" thickBot="1" x14ac:dyDescent="0.35">
      <c r="A6" s="13" t="s">
        <v>142</v>
      </c>
      <c r="B6" s="19">
        <v>2</v>
      </c>
      <c r="C6" s="32"/>
      <c r="D6" s="32"/>
      <c r="E6" s="32"/>
      <c r="F6" s="32"/>
      <c r="G6" s="32"/>
      <c r="H6" s="32"/>
      <c r="I6" s="32"/>
      <c r="J6" s="32"/>
      <c r="K6" s="32"/>
    </row>
    <row r="7" spans="1:11" ht="15.6" thickTop="1" thickBot="1" x14ac:dyDescent="0.35">
      <c r="A7" s="13" t="s">
        <v>154</v>
      </c>
      <c r="B7" s="19">
        <v>8</v>
      </c>
      <c r="C7" s="32"/>
      <c r="D7" s="32"/>
      <c r="E7" s="32"/>
      <c r="F7" s="32"/>
      <c r="G7" s="32"/>
      <c r="H7" s="32"/>
      <c r="I7" s="32"/>
      <c r="J7" s="32"/>
      <c r="K7" s="32"/>
    </row>
    <row r="8" spans="1:11" ht="15.6" thickTop="1" thickBot="1" x14ac:dyDescent="0.35">
      <c r="A8" s="34"/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15.6" thickTop="1" thickBot="1" x14ac:dyDescent="0.35">
      <c r="A9" s="16" t="s">
        <v>155</v>
      </c>
      <c r="B9" s="65"/>
      <c r="C9" s="17"/>
      <c r="D9" s="32"/>
      <c r="E9" s="12" t="s">
        <v>156</v>
      </c>
      <c r="F9" s="32"/>
      <c r="H9" s="32"/>
      <c r="I9" s="32"/>
      <c r="J9" s="32"/>
      <c r="K9" s="32"/>
    </row>
    <row r="10" spans="1:11" ht="15.6" thickTop="1" thickBot="1" x14ac:dyDescent="0.35">
      <c r="A10" s="11" t="s">
        <v>122</v>
      </c>
      <c r="B10" s="12" t="s">
        <v>123</v>
      </c>
      <c r="C10" s="12" t="s">
        <v>157</v>
      </c>
      <c r="D10" s="32"/>
      <c r="E10" s="19">
        <f>B6*B7</f>
        <v>16</v>
      </c>
      <c r="F10" s="32"/>
      <c r="G10" s="32"/>
      <c r="H10" s="32"/>
      <c r="I10" s="32"/>
      <c r="J10" s="32"/>
      <c r="K10" s="32"/>
    </row>
    <row r="11" spans="1:11" ht="15.6" thickTop="1" thickBot="1" x14ac:dyDescent="0.35">
      <c r="A11" s="13" t="s">
        <v>158</v>
      </c>
      <c r="B11" s="19">
        <v>352300000</v>
      </c>
      <c r="C11" s="35">
        <v>1</v>
      </c>
      <c r="D11" s="32"/>
      <c r="E11" s="32"/>
      <c r="F11" s="32"/>
      <c r="G11" s="32"/>
      <c r="H11" s="32"/>
      <c r="I11" s="32"/>
      <c r="J11" s="32"/>
      <c r="K11" s="32"/>
    </row>
    <row r="12" spans="1:11" ht="15.6" thickTop="1" thickBot="1" x14ac:dyDescent="0.35">
      <c r="A12" s="13" t="s">
        <v>159</v>
      </c>
      <c r="B12" s="19">
        <f>B11*C12</f>
        <v>267748000</v>
      </c>
      <c r="C12" s="35">
        <v>0.76</v>
      </c>
      <c r="D12" s="32"/>
      <c r="E12" s="12" t="s">
        <v>160</v>
      </c>
      <c r="F12" s="32"/>
      <c r="G12" s="32"/>
      <c r="H12" s="32"/>
      <c r="I12" s="32"/>
      <c r="J12" s="32"/>
      <c r="K12" s="32"/>
    </row>
    <row r="13" spans="1:11" ht="15.6" thickTop="1" thickBot="1" x14ac:dyDescent="0.35">
      <c r="A13" s="13" t="s">
        <v>161</v>
      </c>
      <c r="B13" s="99">
        <f>B12*C13</f>
        <v>187423600</v>
      </c>
      <c r="C13" s="35">
        <v>0.7</v>
      </c>
      <c r="D13" s="32"/>
      <c r="E13" s="35">
        <v>0.02</v>
      </c>
      <c r="F13" s="32"/>
      <c r="G13" s="32"/>
      <c r="H13" s="32"/>
      <c r="I13" s="32"/>
      <c r="J13" s="32"/>
      <c r="K13" s="32"/>
    </row>
    <row r="14" spans="1:11" ht="15.6" thickTop="1" thickBot="1" x14ac:dyDescent="0.35">
      <c r="A14" s="13" t="s">
        <v>162</v>
      </c>
      <c r="B14" s="19">
        <f>ROUNDUP(B13*C14,0)</f>
        <v>513490</v>
      </c>
      <c r="C14" s="98">
        <f>1/365</f>
        <v>2.7397260273972603E-3</v>
      </c>
      <c r="D14" s="32"/>
      <c r="E14" s="32"/>
      <c r="F14" s="32"/>
      <c r="G14" s="32"/>
      <c r="H14" s="32"/>
      <c r="I14" s="32"/>
      <c r="J14" s="32"/>
      <c r="K14" s="32"/>
    </row>
    <row r="15" spans="1:11" ht="15.6" thickTop="1" thickBot="1" x14ac:dyDescent="0.35">
      <c r="A15" s="16" t="s">
        <v>163</v>
      </c>
      <c r="B15" s="65"/>
      <c r="C15" s="17"/>
      <c r="D15" s="32"/>
      <c r="E15" s="32"/>
      <c r="F15" s="32"/>
      <c r="G15" s="32"/>
      <c r="H15" s="32"/>
      <c r="I15" s="32"/>
      <c r="J15" s="32"/>
      <c r="K15" s="32"/>
    </row>
    <row r="16" spans="1:11" ht="15.6" thickTop="1" thickBot="1" x14ac:dyDescent="0.35">
      <c r="A16" s="13" t="s">
        <v>164</v>
      </c>
      <c r="B16" s="19">
        <f>ROUNDUP(B14*C16,0)</f>
        <v>256745</v>
      </c>
      <c r="C16" s="35">
        <v>0.5</v>
      </c>
      <c r="D16" s="32"/>
      <c r="E16" s="32"/>
      <c r="F16" s="32"/>
      <c r="G16" s="32"/>
      <c r="H16" s="32"/>
      <c r="I16" s="32"/>
      <c r="J16" s="32"/>
      <c r="K16" s="32"/>
    </row>
    <row r="17" spans="1:14" ht="15.6" thickTop="1" thickBot="1" x14ac:dyDescent="0.35">
      <c r="A17" s="13" t="s">
        <v>165</v>
      </c>
      <c r="B17" s="19">
        <f>ROUNDUP(B14*C17,0)</f>
        <v>15405</v>
      </c>
      <c r="C17" s="35">
        <v>0.03</v>
      </c>
      <c r="D17" s="32"/>
      <c r="E17" s="32"/>
      <c r="F17" s="32"/>
      <c r="G17" s="32"/>
      <c r="H17" s="32"/>
      <c r="I17" s="32"/>
      <c r="J17" s="32"/>
      <c r="K17" s="32"/>
    </row>
    <row r="18" spans="1:14" ht="15.6" thickTop="1" thickBot="1" x14ac:dyDescent="0.35">
      <c r="A18" s="13" t="s">
        <v>166</v>
      </c>
      <c r="B18" s="19">
        <f>ROUNDUP(B14*C18,0)</f>
        <v>15405</v>
      </c>
      <c r="C18" s="35">
        <v>0.03</v>
      </c>
      <c r="D18" s="32"/>
      <c r="E18" s="32"/>
      <c r="F18" s="32"/>
      <c r="G18" s="32"/>
      <c r="H18" s="32"/>
      <c r="J18" s="32"/>
      <c r="K18" s="32"/>
    </row>
    <row r="19" spans="1:14" ht="15.6" thickTop="1" thickBot="1" x14ac:dyDescent="0.35">
      <c r="A19" s="16" t="s">
        <v>167</v>
      </c>
      <c r="B19" s="65"/>
      <c r="C19" s="17"/>
      <c r="D19" s="32"/>
      <c r="E19" s="12" t="s">
        <v>168</v>
      </c>
      <c r="F19" s="32"/>
      <c r="G19" s="32"/>
      <c r="H19" s="32"/>
      <c r="I19" s="32"/>
      <c r="J19" s="32"/>
      <c r="K19" s="32"/>
    </row>
    <row r="20" spans="1:14" ht="15.6" thickTop="1" thickBot="1" x14ac:dyDescent="0.35">
      <c r="A20" s="13" t="s">
        <v>169</v>
      </c>
      <c r="B20" s="19">
        <f>ROUNDUP(B16*$E$20*$E$22*C20,0)</f>
        <v>728914</v>
      </c>
      <c r="C20" s="35">
        <v>0.5</v>
      </c>
      <c r="D20" s="32"/>
      <c r="E20" s="19">
        <f>24*8</f>
        <v>192</v>
      </c>
      <c r="F20" s="32"/>
      <c r="G20" s="32"/>
      <c r="H20" s="32"/>
      <c r="I20" s="32"/>
      <c r="J20" s="32"/>
      <c r="K20" s="32"/>
    </row>
    <row r="21" spans="1:14" ht="15.6" thickTop="1" thickBot="1" x14ac:dyDescent="0.35">
      <c r="A21" s="13" t="s">
        <v>170</v>
      </c>
      <c r="B21" s="19">
        <f>ROUNDUP(B17*$E$20*$E$22*C21,0)</f>
        <v>43736</v>
      </c>
      <c r="C21" s="35">
        <v>0.5</v>
      </c>
      <c r="D21" s="32"/>
      <c r="E21" s="12" t="s">
        <v>171</v>
      </c>
      <c r="F21" s="32"/>
      <c r="G21" s="32"/>
      <c r="H21" s="32"/>
      <c r="I21" s="32"/>
      <c r="J21" s="32"/>
      <c r="K21" s="32"/>
    </row>
    <row r="22" spans="1:14" ht="15.6" thickTop="1" thickBot="1" x14ac:dyDescent="0.35">
      <c r="A22" s="13" t="s">
        <v>172</v>
      </c>
      <c r="B22" s="19">
        <f>ROUNDUP(B18*$E$20*$E$22*C22,0)</f>
        <v>43736</v>
      </c>
      <c r="C22" s="35">
        <v>0.5</v>
      </c>
      <c r="D22" s="32"/>
      <c r="E22" s="19">
        <f>29.5735/1000</f>
        <v>2.9573499999999999E-2</v>
      </c>
      <c r="F22" s="32"/>
      <c r="G22" s="32"/>
      <c r="H22" s="32"/>
      <c r="I22" s="32"/>
      <c r="J22" s="32"/>
      <c r="K22" s="32"/>
    </row>
    <row r="23" spans="1:14" ht="15.6" thickTop="1" thickBot="1" x14ac:dyDescent="0.35">
      <c r="A23" s="16" t="s">
        <v>173</v>
      </c>
      <c r="B23" s="65"/>
      <c r="C23" s="17"/>
      <c r="D23" s="32"/>
      <c r="E23" s="32"/>
      <c r="F23" s="32"/>
      <c r="G23" s="32"/>
      <c r="H23" s="32"/>
      <c r="I23" s="32"/>
      <c r="J23" s="32"/>
      <c r="K23" s="32"/>
    </row>
    <row r="24" spans="1:14" ht="15.6" thickTop="1" thickBot="1" x14ac:dyDescent="0.35">
      <c r="A24" s="13" t="s">
        <v>174</v>
      </c>
      <c r="B24" s="19">
        <f>ROUNDUP(B20/E3,0)</f>
        <v>364457</v>
      </c>
      <c r="C24" s="37">
        <v>0.87060000000000004</v>
      </c>
      <c r="D24" s="32"/>
      <c r="E24" s="32"/>
      <c r="F24" s="32"/>
      <c r="G24" s="32"/>
      <c r="H24" s="32"/>
      <c r="I24" s="32"/>
      <c r="J24" s="32"/>
      <c r="K24" s="32"/>
    </row>
    <row r="25" spans="1:14" ht="15.6" thickTop="1" thickBot="1" x14ac:dyDescent="0.35">
      <c r="A25" s="13" t="s">
        <v>175</v>
      </c>
      <c r="B25" s="19">
        <f>ROUNDUP(B21/E4,0)</f>
        <v>24992</v>
      </c>
      <c r="C25" s="37">
        <v>5.9700000000000003E-2</v>
      </c>
      <c r="D25" s="32"/>
      <c r="E25" s="32"/>
      <c r="F25" s="32"/>
      <c r="G25" s="32"/>
      <c r="H25" s="32"/>
      <c r="I25" s="32"/>
      <c r="J25" s="32"/>
      <c r="K25" s="32"/>
    </row>
    <row r="26" spans="1:14" ht="15.6" thickTop="1" thickBot="1" x14ac:dyDescent="0.35">
      <c r="A26" s="13" t="s">
        <v>176</v>
      </c>
      <c r="B26" s="19">
        <f>ROUNDUP(B22/E5,0)</f>
        <v>29158</v>
      </c>
      <c r="C26" s="37">
        <v>6.9699999999999998E-2</v>
      </c>
      <c r="D26" s="32"/>
      <c r="E26" s="32"/>
      <c r="F26" s="32"/>
      <c r="G26" s="66" t="s">
        <v>177</v>
      </c>
      <c r="H26" s="67"/>
      <c r="I26" s="68"/>
      <c r="J26" s="38"/>
      <c r="K26" s="38"/>
      <c r="M26" s="29" t="s">
        <v>268</v>
      </c>
      <c r="N26" s="30"/>
    </row>
    <row r="27" spans="1:14" ht="15.6" thickTop="1" thickBot="1" x14ac:dyDescent="0.35">
      <c r="A27" s="11" t="s">
        <v>178</v>
      </c>
      <c r="B27" s="69">
        <f>SUM(B24:B26)</f>
        <v>418607</v>
      </c>
      <c r="C27" s="70"/>
      <c r="D27" s="32"/>
      <c r="E27" s="32"/>
      <c r="F27" s="32"/>
      <c r="G27" s="39" t="s">
        <v>102</v>
      </c>
      <c r="H27" s="40" t="s">
        <v>179</v>
      </c>
      <c r="I27" s="41" t="s">
        <v>180</v>
      </c>
      <c r="J27" s="42"/>
      <c r="K27" s="42"/>
      <c r="M27" s="13" t="s">
        <v>181</v>
      </c>
      <c r="N27" s="19">
        <v>4225000000</v>
      </c>
    </row>
    <row r="28" spans="1:14" ht="27.6" thickTop="1" thickBot="1" x14ac:dyDescent="0.35">
      <c r="A28" s="43"/>
      <c r="B28" s="44"/>
      <c r="C28" s="32"/>
      <c r="D28" s="32"/>
      <c r="E28" s="32"/>
      <c r="F28" s="32"/>
      <c r="G28" s="45" t="s">
        <v>181</v>
      </c>
      <c r="H28" s="19">
        <v>4225000000</v>
      </c>
      <c r="I28" s="19">
        <f>H28</f>
        <v>4225000000</v>
      </c>
      <c r="J28" s="42"/>
      <c r="K28" s="42"/>
      <c r="M28" s="13" t="s">
        <v>269</v>
      </c>
      <c r="N28" s="19">
        <v>352300000</v>
      </c>
    </row>
    <row r="29" spans="1:14" ht="15.6" thickTop="1" thickBot="1" x14ac:dyDescent="0.35">
      <c r="A29" s="16" t="s">
        <v>182</v>
      </c>
      <c r="B29" s="65"/>
      <c r="C29" s="17"/>
      <c r="D29" s="32"/>
      <c r="E29" s="32"/>
      <c r="F29" s="32"/>
      <c r="G29" s="33" t="s">
        <v>183</v>
      </c>
      <c r="H29" s="15">
        <v>13416000000</v>
      </c>
      <c r="I29" s="15">
        <f>H29*4409.15</f>
        <v>59153156399999.992</v>
      </c>
      <c r="J29" s="32"/>
      <c r="K29" s="32"/>
      <c r="M29" s="11" t="s">
        <v>157</v>
      </c>
      <c r="N29" s="37">
        <v>8.3400000000000002E-2</v>
      </c>
    </row>
    <row r="30" spans="1:14" ht="15.6" thickTop="1" thickBot="1" x14ac:dyDescent="0.35">
      <c r="A30" s="11" t="s">
        <v>122</v>
      </c>
      <c r="B30" s="12" t="s">
        <v>184</v>
      </c>
      <c r="C30" s="12" t="s">
        <v>123</v>
      </c>
      <c r="D30" s="32"/>
      <c r="E30" s="32"/>
      <c r="F30" s="32"/>
      <c r="G30" s="33" t="s">
        <v>185</v>
      </c>
      <c r="H30" s="15">
        <v>1925000000</v>
      </c>
      <c r="I30" s="15">
        <f>H30*4409.15</f>
        <v>8487613749999.999</v>
      </c>
      <c r="J30" s="32"/>
      <c r="K30" s="32"/>
      <c r="M30" s="43"/>
      <c r="N30" s="44"/>
    </row>
    <row r="31" spans="1:14" ht="27.6" customHeight="1" thickTop="1" thickBot="1" x14ac:dyDescent="0.35">
      <c r="A31" s="13" t="s">
        <v>174</v>
      </c>
      <c r="B31" s="100">
        <f>ROUND(B24*($D$50/$B$27),0)</f>
        <v>182835</v>
      </c>
      <c r="C31" s="15">
        <f>B31*$N$35*E3</f>
        <v>901647145.79999995</v>
      </c>
      <c r="D31" s="32"/>
      <c r="E31" s="32"/>
      <c r="F31" s="32"/>
      <c r="G31" s="33" t="s">
        <v>186</v>
      </c>
      <c r="H31" s="15">
        <v>1138000000</v>
      </c>
      <c r="I31" s="15">
        <f>H31*4409.15</f>
        <v>5017612700000</v>
      </c>
      <c r="J31" s="32"/>
      <c r="K31" s="32"/>
      <c r="M31" s="29" t="s">
        <v>270</v>
      </c>
      <c r="N31" s="30"/>
    </row>
    <row r="32" spans="1:14" ht="15.6" thickTop="1" thickBot="1" x14ac:dyDescent="0.35">
      <c r="A32" s="13" t="s">
        <v>175</v>
      </c>
      <c r="B32" s="100">
        <f>ROUND(B25*($D$50/$B$27),0)</f>
        <v>12538</v>
      </c>
      <c r="C32" s="15">
        <f>B32*$N$35*E4</f>
        <v>54102034.209999993</v>
      </c>
      <c r="D32" s="32"/>
      <c r="E32" s="32"/>
      <c r="F32" s="32"/>
      <c r="G32" s="33" t="s">
        <v>187</v>
      </c>
      <c r="H32" s="15">
        <v>14767000000</v>
      </c>
      <c r="I32" s="15">
        <f>H32*4409.15</f>
        <v>65109918049999.992</v>
      </c>
      <c r="J32" s="32"/>
      <c r="K32" s="32"/>
      <c r="M32" s="13" t="s">
        <v>181</v>
      </c>
      <c r="N32" s="19">
        <v>4225000000</v>
      </c>
    </row>
    <row r="33" spans="1:14" ht="15.6" thickTop="1" thickBot="1" x14ac:dyDescent="0.35">
      <c r="A33" s="13" t="s">
        <v>176</v>
      </c>
      <c r="B33" s="99">
        <f>ROUND(B26*($D$50/$B$27),0)</f>
        <v>14628</v>
      </c>
      <c r="C33" s="15">
        <f>B33*$N$35*E5</f>
        <v>54103267.079999998</v>
      </c>
      <c r="D33" s="32"/>
      <c r="E33" s="32"/>
      <c r="F33" s="32"/>
      <c r="G33" s="33" t="s">
        <v>188</v>
      </c>
      <c r="H33" s="15">
        <v>3375000000</v>
      </c>
      <c r="I33" s="15">
        <f>H33*4409.15</f>
        <v>14880881249999.998</v>
      </c>
      <c r="J33" s="32"/>
      <c r="K33" s="32"/>
      <c r="M33" s="13" t="s">
        <v>183</v>
      </c>
      <c r="N33" s="15">
        <v>59153156400000</v>
      </c>
    </row>
    <row r="34" spans="1:14" ht="15.6" thickTop="1" thickBot="1" x14ac:dyDescent="0.35">
      <c r="A34" s="16" t="s">
        <v>189</v>
      </c>
      <c r="B34" s="65"/>
      <c r="C34" s="17"/>
      <c r="D34" s="32"/>
      <c r="E34" s="32"/>
      <c r="F34" s="32"/>
      <c r="G34" s="33" t="s">
        <v>190</v>
      </c>
      <c r="H34" s="15">
        <v>6877000000</v>
      </c>
      <c r="I34" s="15">
        <f>H34*4409.15</f>
        <v>30321724549999.996</v>
      </c>
      <c r="J34" s="32"/>
      <c r="K34" s="32"/>
      <c r="M34" s="11" t="s">
        <v>271</v>
      </c>
      <c r="N34" s="18">
        <v>14000.75</v>
      </c>
    </row>
    <row r="35" spans="1:14" ht="15.6" thickTop="1" thickBot="1" x14ac:dyDescent="0.35">
      <c r="A35" s="11" t="s">
        <v>122</v>
      </c>
      <c r="B35" s="12" t="s">
        <v>123</v>
      </c>
      <c r="C35" s="12" t="s">
        <v>157</v>
      </c>
      <c r="D35" s="32"/>
      <c r="E35" s="32"/>
      <c r="F35" s="32"/>
      <c r="G35" s="33" t="s">
        <v>191</v>
      </c>
      <c r="H35" s="15">
        <v>1410000000</v>
      </c>
      <c r="I35" s="15">
        <f>H36*4409.15</f>
        <v>308.64050000000003</v>
      </c>
      <c r="J35" s="32"/>
      <c r="K35" s="32"/>
      <c r="M35" s="11" t="s">
        <v>272</v>
      </c>
      <c r="N35" s="18">
        <v>2465.7399999999998</v>
      </c>
    </row>
    <row r="36" spans="1:14" ht="15.6" thickTop="1" thickBot="1" x14ac:dyDescent="0.35">
      <c r="A36" s="13" t="s">
        <v>192</v>
      </c>
      <c r="B36" s="1">
        <f>C31*C36</f>
        <v>129386365.42229998</v>
      </c>
      <c r="C36" s="37">
        <f>$N$40</f>
        <v>0.14349999999999999</v>
      </c>
      <c r="D36" s="32"/>
      <c r="E36" s="32"/>
      <c r="F36" s="32"/>
      <c r="G36" s="33" t="s">
        <v>193</v>
      </c>
      <c r="H36" s="37">
        <v>7.0000000000000007E-2</v>
      </c>
      <c r="I36" s="37">
        <v>7.0000000000000007E-2</v>
      </c>
      <c r="J36" s="32"/>
      <c r="K36" s="32"/>
      <c r="M36" s="34"/>
      <c r="N36" s="32"/>
    </row>
    <row r="37" spans="1:14" ht="15.6" thickTop="1" thickBot="1" x14ac:dyDescent="0.35">
      <c r="A37" s="13" t="s">
        <v>194</v>
      </c>
      <c r="B37" s="1">
        <f>C32*C37</f>
        <v>7763641.909134998</v>
      </c>
      <c r="C37" s="37">
        <f>$N$40</f>
        <v>0.14349999999999999</v>
      </c>
      <c r="D37" s="32"/>
      <c r="E37" s="32"/>
      <c r="F37" s="32"/>
      <c r="G37" s="32"/>
      <c r="H37" s="32"/>
      <c r="I37" s="32"/>
      <c r="J37" s="32"/>
      <c r="K37" s="32"/>
      <c r="M37" s="29" t="s">
        <v>273</v>
      </c>
      <c r="N37" s="30"/>
    </row>
    <row r="38" spans="1:14" ht="15.6" thickTop="1" thickBot="1" x14ac:dyDescent="0.35">
      <c r="A38" s="13" t="s">
        <v>195</v>
      </c>
      <c r="B38" s="26">
        <f>C33*C38</f>
        <v>7763818.8259799993</v>
      </c>
      <c r="C38" s="37">
        <f>$N$40</f>
        <v>0.14349999999999999</v>
      </c>
      <c r="D38" s="32"/>
      <c r="E38" s="32"/>
      <c r="F38" s="32"/>
      <c r="G38" s="32"/>
      <c r="H38" s="32"/>
      <c r="I38" s="32"/>
      <c r="J38" s="32"/>
      <c r="K38" s="32"/>
      <c r="M38" s="13" t="s">
        <v>183</v>
      </c>
      <c r="N38" s="15">
        <v>59153156400000</v>
      </c>
    </row>
    <row r="39" spans="1:14" ht="15.6" thickTop="1" thickBot="1" x14ac:dyDescent="0.35">
      <c r="A39" s="11" t="s">
        <v>196</v>
      </c>
      <c r="B39" s="71">
        <f>SUM(B36:B38)</f>
        <v>144913826.15741497</v>
      </c>
      <c r="C39" s="72"/>
      <c r="D39" s="32"/>
      <c r="E39" s="32"/>
      <c r="F39" s="32"/>
      <c r="G39" s="32"/>
      <c r="H39" s="32"/>
      <c r="I39" s="32"/>
      <c r="J39" s="32"/>
      <c r="K39" s="32"/>
      <c r="M39" s="13" t="s">
        <v>185</v>
      </c>
      <c r="N39" s="15">
        <v>8487613750000</v>
      </c>
    </row>
    <row r="40" spans="1:14" ht="15.6" thickTop="1" thickBot="1" x14ac:dyDescent="0.35">
      <c r="A40" s="11" t="s">
        <v>197</v>
      </c>
      <c r="B40" s="71">
        <f>B39*365.25</f>
        <v>52929775003.995819</v>
      </c>
      <c r="C40" s="72"/>
      <c r="D40" s="32"/>
      <c r="E40" s="32"/>
      <c r="F40" s="32"/>
      <c r="G40" s="32"/>
      <c r="H40" s="32"/>
      <c r="I40" s="32"/>
      <c r="J40" s="32"/>
      <c r="K40" s="32"/>
      <c r="M40" s="11" t="s">
        <v>157</v>
      </c>
      <c r="N40" s="37">
        <v>0.14349999999999999</v>
      </c>
    </row>
    <row r="41" spans="1:14" ht="15.6" thickTop="1" thickBot="1" x14ac:dyDescent="0.35">
      <c r="A41" s="43"/>
      <c r="B41" s="44"/>
      <c r="C41" s="32"/>
      <c r="D41" s="32"/>
      <c r="E41" s="32"/>
      <c r="F41" s="32"/>
      <c r="G41" s="32"/>
      <c r="H41" s="32"/>
      <c r="I41" s="32"/>
      <c r="J41" s="32"/>
      <c r="K41" s="32"/>
    </row>
    <row r="42" spans="1:14" ht="15.6" thickTop="1" thickBot="1" x14ac:dyDescent="0.35">
      <c r="A42" s="16" t="s">
        <v>198</v>
      </c>
      <c r="B42" s="17"/>
      <c r="C42" s="32"/>
      <c r="D42" s="29" t="s">
        <v>199</v>
      </c>
      <c r="E42" s="30"/>
      <c r="F42" s="32"/>
      <c r="G42" s="73" t="s">
        <v>200</v>
      </c>
      <c r="H42" s="74"/>
      <c r="I42" s="75"/>
      <c r="J42" s="46"/>
      <c r="K42" s="46"/>
    </row>
    <row r="43" spans="1:14" ht="15.6" thickTop="1" thickBot="1" x14ac:dyDescent="0.35">
      <c r="A43" s="11" t="s">
        <v>201</v>
      </c>
      <c r="B43" s="12" t="s">
        <v>202</v>
      </c>
      <c r="C43" s="32"/>
      <c r="D43" s="19">
        <f>(E10)-B3-(B4/60)</f>
        <v>14.833333333333334</v>
      </c>
      <c r="E43" s="45" t="s">
        <v>203</v>
      </c>
      <c r="F43" s="32"/>
      <c r="G43" s="12" t="s">
        <v>122</v>
      </c>
      <c r="H43" s="12" t="s">
        <v>204</v>
      </c>
      <c r="I43" s="12" t="s">
        <v>205</v>
      </c>
      <c r="J43" s="12" t="s">
        <v>206</v>
      </c>
      <c r="K43" s="12" t="s">
        <v>184</v>
      </c>
    </row>
    <row r="44" spans="1:14" ht="15.6" thickTop="1" thickBot="1" x14ac:dyDescent="0.35">
      <c r="A44" s="13" t="s">
        <v>207</v>
      </c>
      <c r="B44" s="47">
        <f>$D$43*3600/B24</f>
        <v>0.14651934247387208</v>
      </c>
      <c r="C44" s="32"/>
      <c r="D44" s="32"/>
      <c r="E44" s="32"/>
      <c r="F44" s="32"/>
      <c r="G44" s="48" t="s">
        <v>208</v>
      </c>
      <c r="H44" s="49">
        <f>B3</f>
        <v>1</v>
      </c>
      <c r="I44" s="50">
        <v>1</v>
      </c>
      <c r="J44" s="51">
        <f>I44-H44</f>
        <v>0</v>
      </c>
      <c r="K44" s="48" t="s">
        <v>203</v>
      </c>
    </row>
    <row r="45" spans="1:14" ht="15.6" thickTop="1" thickBot="1" x14ac:dyDescent="0.35">
      <c r="A45" s="13" t="s">
        <v>209</v>
      </c>
      <c r="B45" s="47">
        <f>$D$43*3600/B25</f>
        <v>2.1366837387964148</v>
      </c>
      <c r="C45" s="32"/>
      <c r="D45" s="29" t="s">
        <v>210</v>
      </c>
      <c r="E45" s="30"/>
      <c r="F45" s="32"/>
      <c r="G45" s="48" t="s">
        <v>211</v>
      </c>
      <c r="H45" s="49">
        <f>B4/60</f>
        <v>0.16666666666666666</v>
      </c>
      <c r="I45" s="110">
        <f>10/60</f>
        <v>0.16666666666666666</v>
      </c>
      <c r="J45" s="51">
        <f t="shared" ref="J45:J61" si="0">I45-H45</f>
        <v>0</v>
      </c>
      <c r="K45" s="48" t="s">
        <v>203</v>
      </c>
    </row>
    <row r="46" spans="1:14" ht="15.6" thickTop="1" thickBot="1" x14ac:dyDescent="0.35">
      <c r="A46" s="13" t="s">
        <v>212</v>
      </c>
      <c r="B46" s="47">
        <f>$D$43*3600/B26</f>
        <v>1.8314013306811168</v>
      </c>
      <c r="C46" s="32"/>
      <c r="D46" s="19">
        <f>3600/B5</f>
        <v>0.18</v>
      </c>
      <c r="E46" s="33" t="s">
        <v>213</v>
      </c>
      <c r="F46" s="32"/>
      <c r="G46" s="48" t="s">
        <v>152</v>
      </c>
      <c r="H46" s="49">
        <f>B5</f>
        <v>20000</v>
      </c>
      <c r="I46" s="50">
        <v>21000</v>
      </c>
      <c r="J46" s="51">
        <f t="shared" si="0"/>
        <v>1000</v>
      </c>
      <c r="K46" s="48" t="s">
        <v>214</v>
      </c>
    </row>
    <row r="47" spans="1:14" ht="15.6" thickTop="1" thickBot="1" x14ac:dyDescent="0.35">
      <c r="A47" s="34"/>
      <c r="B47" s="32"/>
      <c r="C47" s="32"/>
      <c r="D47" s="19">
        <f>D46/3600</f>
        <v>4.9999999999999996E-5</v>
      </c>
      <c r="E47" s="33" t="s">
        <v>203</v>
      </c>
      <c r="F47" s="32"/>
      <c r="G47" s="48" t="s">
        <v>142</v>
      </c>
      <c r="H47" s="49">
        <f>B6</f>
        <v>2</v>
      </c>
      <c r="I47" s="50">
        <v>2</v>
      </c>
      <c r="J47" s="51">
        <f t="shared" si="0"/>
        <v>0</v>
      </c>
      <c r="K47" s="48" t="s">
        <v>215</v>
      </c>
    </row>
    <row r="48" spans="1:14" ht="15.6" thickTop="1" thickBot="1" x14ac:dyDescent="0.35">
      <c r="A48" s="63" t="s">
        <v>216</v>
      </c>
      <c r="B48" s="64"/>
      <c r="C48" s="32"/>
      <c r="D48" s="32"/>
      <c r="E48" s="32"/>
      <c r="F48" s="32"/>
      <c r="G48" s="48" t="s">
        <v>154</v>
      </c>
      <c r="H48" s="49">
        <f>B7</f>
        <v>8</v>
      </c>
      <c r="I48" s="50">
        <v>8</v>
      </c>
      <c r="J48" s="51">
        <f t="shared" si="0"/>
        <v>0</v>
      </c>
      <c r="K48" s="48" t="s">
        <v>203</v>
      </c>
    </row>
    <row r="49" spans="1:11" ht="15.6" thickTop="1" thickBot="1" x14ac:dyDescent="0.35">
      <c r="A49" s="11" t="s">
        <v>217</v>
      </c>
      <c r="B49" s="12" t="s">
        <v>202</v>
      </c>
      <c r="C49" s="32"/>
      <c r="D49" s="29" t="s">
        <v>218</v>
      </c>
      <c r="E49" s="30"/>
      <c r="F49" s="32"/>
      <c r="G49" s="48" t="s">
        <v>210</v>
      </c>
      <c r="H49" s="49">
        <f>D47</f>
        <v>4.9999999999999996E-5</v>
      </c>
      <c r="I49" s="50">
        <v>5.0000000000000002E-5</v>
      </c>
      <c r="J49" s="51">
        <f t="shared" si="0"/>
        <v>0</v>
      </c>
      <c r="K49" s="48" t="s">
        <v>219</v>
      </c>
    </row>
    <row r="50" spans="1:11" ht="15.6" thickTop="1" thickBot="1" x14ac:dyDescent="0.35">
      <c r="A50" s="13" t="s">
        <v>220</v>
      </c>
      <c r="B50" s="19">
        <v>1.5</v>
      </c>
      <c r="C50" s="32"/>
      <c r="D50" s="47">
        <v>210000</v>
      </c>
      <c r="E50" s="33" t="s">
        <v>184</v>
      </c>
      <c r="F50" s="19">
        <f>B5*(D43-D60)</f>
        <v>223333.33333333334</v>
      </c>
      <c r="G50" s="48" t="s">
        <v>221</v>
      </c>
      <c r="H50" s="49">
        <f>D50</f>
        <v>210000</v>
      </c>
      <c r="I50" s="50">
        <f>H50+H50*0.02</f>
        <v>214200</v>
      </c>
      <c r="J50" s="51">
        <f t="shared" si="0"/>
        <v>4200</v>
      </c>
      <c r="K50" s="48" t="s">
        <v>184</v>
      </c>
    </row>
    <row r="51" spans="1:11" ht="15.6" thickTop="1" thickBot="1" x14ac:dyDescent="0.35">
      <c r="A51" s="13" t="s">
        <v>222</v>
      </c>
      <c r="B51" s="19">
        <v>2</v>
      </c>
      <c r="C51" s="32"/>
      <c r="D51" s="32"/>
      <c r="E51" s="32"/>
      <c r="F51" s="32"/>
      <c r="G51" s="48" t="s">
        <v>223</v>
      </c>
      <c r="H51" s="49">
        <f>D60</f>
        <v>3.6666666666666665</v>
      </c>
      <c r="I51" s="50">
        <f>210/60</f>
        <v>3.5</v>
      </c>
      <c r="J51" s="51">
        <f t="shared" si="0"/>
        <v>-0.16666666666666652</v>
      </c>
      <c r="K51" s="48" t="s">
        <v>203</v>
      </c>
    </row>
    <row r="52" spans="1:11" ht="15.6" thickTop="1" thickBot="1" x14ac:dyDescent="0.35">
      <c r="A52" s="13" t="s">
        <v>224</v>
      </c>
      <c r="B52" s="19">
        <v>0.18</v>
      </c>
      <c r="C52" s="32"/>
      <c r="D52" s="27" t="s">
        <v>225</v>
      </c>
      <c r="E52" s="28"/>
      <c r="F52" s="32"/>
      <c r="G52" s="52" t="s">
        <v>226</v>
      </c>
      <c r="H52" s="49">
        <f>D43</f>
        <v>14.833333333333334</v>
      </c>
      <c r="I52" s="50">
        <f>(I47*I48)-I44-I45</f>
        <v>14.833333333333334</v>
      </c>
      <c r="J52" s="51">
        <f t="shared" si="0"/>
        <v>0</v>
      </c>
      <c r="K52" s="48" t="s">
        <v>203</v>
      </c>
    </row>
    <row r="53" spans="1:11" ht="15.6" thickTop="1" thickBot="1" x14ac:dyDescent="0.35">
      <c r="A53" s="13" t="s">
        <v>227</v>
      </c>
      <c r="B53" s="19">
        <v>1</v>
      </c>
      <c r="C53" s="32"/>
      <c r="D53" s="53">
        <f>D50/B27</f>
        <v>0.5016638517750539</v>
      </c>
      <c r="E53" s="45" t="s">
        <v>228</v>
      </c>
      <c r="F53" s="32"/>
      <c r="G53" s="23" t="s">
        <v>174</v>
      </c>
      <c r="H53" s="107">
        <f>B31</f>
        <v>182835</v>
      </c>
      <c r="I53" s="50">
        <f>ROUND($I$50*C24,0)</f>
        <v>186483</v>
      </c>
      <c r="J53" s="51">
        <f t="shared" si="0"/>
        <v>3648</v>
      </c>
      <c r="K53" s="48" t="s">
        <v>184</v>
      </c>
    </row>
    <row r="54" spans="1:11" ht="15.6" thickTop="1" thickBot="1" x14ac:dyDescent="0.35">
      <c r="A54" s="13" t="s">
        <v>229</v>
      </c>
      <c r="B54" s="19">
        <v>2</v>
      </c>
      <c r="C54" s="32"/>
      <c r="D54" s="44"/>
      <c r="E54" s="44"/>
      <c r="F54" s="32"/>
      <c r="G54" s="23" t="s">
        <v>175</v>
      </c>
      <c r="H54" s="107">
        <f>B32</f>
        <v>12538</v>
      </c>
      <c r="I54" s="50">
        <f>ROUND($I$50*C25,0)</f>
        <v>12788</v>
      </c>
      <c r="J54" s="51">
        <f t="shared" si="0"/>
        <v>250</v>
      </c>
      <c r="K54" s="48" t="s">
        <v>184</v>
      </c>
    </row>
    <row r="55" spans="1:11" ht="15.6" thickTop="1" thickBot="1" x14ac:dyDescent="0.35">
      <c r="A55" s="13" t="s">
        <v>230</v>
      </c>
      <c r="B55" s="19">
        <v>0.5</v>
      </c>
      <c r="C55" s="32"/>
      <c r="D55" s="76" t="s">
        <v>231</v>
      </c>
      <c r="E55" s="77"/>
      <c r="F55" s="32"/>
      <c r="G55" s="23" t="s">
        <v>176</v>
      </c>
      <c r="H55" s="107">
        <f>B33</f>
        <v>14628</v>
      </c>
      <c r="I55" s="50">
        <f>ROUND($I$50*C26,0)</f>
        <v>14930</v>
      </c>
      <c r="J55" s="51">
        <f t="shared" si="0"/>
        <v>302</v>
      </c>
      <c r="K55" s="48" t="s">
        <v>184</v>
      </c>
    </row>
    <row r="56" spans="1:11" ht="15.6" thickTop="1" thickBot="1" x14ac:dyDescent="0.35">
      <c r="A56" s="13" t="s">
        <v>232</v>
      </c>
      <c r="B56" s="19">
        <v>10</v>
      </c>
      <c r="C56" s="32"/>
      <c r="D56" s="19">
        <f>B3+(B4/60)</f>
        <v>1.1666666666666667</v>
      </c>
      <c r="E56" s="33" t="s">
        <v>203</v>
      </c>
      <c r="F56" s="32"/>
      <c r="G56" s="23" t="s">
        <v>192</v>
      </c>
      <c r="H56" s="54">
        <f>B36</f>
        <v>129386365.42229998</v>
      </c>
      <c r="I56" s="55">
        <f>I53*E3*$N$35*$N$40</f>
        <v>131967936.02453998</v>
      </c>
      <c r="J56" s="108">
        <f t="shared" si="0"/>
        <v>2581570.6022399962</v>
      </c>
      <c r="K56" s="48" t="s">
        <v>233</v>
      </c>
    </row>
    <row r="57" spans="1:11" ht="15.6" thickTop="1" thickBot="1" x14ac:dyDescent="0.35">
      <c r="A57" s="13" t="s">
        <v>234</v>
      </c>
      <c r="B57" s="19">
        <v>90</v>
      </c>
      <c r="C57" s="32"/>
      <c r="D57" s="32"/>
      <c r="E57" s="32"/>
      <c r="F57" s="32"/>
      <c r="G57" s="23" t="s">
        <v>194</v>
      </c>
      <c r="H57" s="54">
        <f>B37</f>
        <v>7763641.909134998</v>
      </c>
      <c r="I57" s="55">
        <f>I54*E4*$N$35*$N$40</f>
        <v>7918444.1485099988</v>
      </c>
      <c r="J57" s="108">
        <f t="shared" si="0"/>
        <v>154802.23937500082</v>
      </c>
      <c r="K57" s="33" t="s">
        <v>233</v>
      </c>
    </row>
    <row r="58" spans="1:11" ht="15.6" thickTop="1" thickBot="1" x14ac:dyDescent="0.35">
      <c r="A58" s="13" t="s">
        <v>235</v>
      </c>
      <c r="B58" s="19">
        <v>180</v>
      </c>
      <c r="C58" s="32"/>
      <c r="D58" s="76" t="s">
        <v>236</v>
      </c>
      <c r="E58" s="77"/>
      <c r="F58" s="32"/>
      <c r="G58" s="23" t="s">
        <v>195</v>
      </c>
      <c r="H58" s="54">
        <f>B38</f>
        <v>7763818.8259799993</v>
      </c>
      <c r="I58" s="55">
        <f>I55*E5*$N$35*$N$40</f>
        <v>7924105.4875499988</v>
      </c>
      <c r="J58" s="108">
        <f t="shared" si="0"/>
        <v>160286.66156999953</v>
      </c>
      <c r="K58" s="33" t="s">
        <v>233</v>
      </c>
    </row>
    <row r="59" spans="1:11" ht="15.6" thickTop="1" thickBot="1" x14ac:dyDescent="0.35">
      <c r="A59" s="13" t="s">
        <v>231</v>
      </c>
      <c r="B59" s="99">
        <f>D56*3600</f>
        <v>4200</v>
      </c>
      <c r="C59" s="32"/>
      <c r="D59" s="47">
        <v>220</v>
      </c>
      <c r="E59" s="33" t="s">
        <v>237</v>
      </c>
      <c r="F59" s="32"/>
      <c r="G59" s="12" t="s">
        <v>197</v>
      </c>
      <c r="H59" s="54">
        <f>B40</f>
        <v>52929775003.995819</v>
      </c>
      <c r="I59" s="15">
        <f>SUM(I56:I58)*365.25</f>
        <v>53987779887.534142</v>
      </c>
      <c r="J59" s="108">
        <f t="shared" si="0"/>
        <v>1058004883.5383224</v>
      </c>
      <c r="K59" s="33" t="s">
        <v>233</v>
      </c>
    </row>
    <row r="60" spans="1:11" ht="15.6" thickTop="1" thickBot="1" x14ac:dyDescent="0.35">
      <c r="A60" s="11" t="s">
        <v>238</v>
      </c>
      <c r="B60" s="103">
        <f>SUM(B50:B59)</f>
        <v>4487.18</v>
      </c>
      <c r="C60" s="32"/>
      <c r="D60" s="47">
        <f>D59/60</f>
        <v>3.6666666666666665</v>
      </c>
      <c r="E60" s="33" t="s">
        <v>203</v>
      </c>
      <c r="F60" s="32"/>
      <c r="G60" s="12" t="s">
        <v>239</v>
      </c>
      <c r="H60" s="56">
        <f>B66</f>
        <v>0.94029850746268628</v>
      </c>
      <c r="I60" s="37">
        <f>I49*I50/(I52-I51)</f>
        <v>0.94500000000000006</v>
      </c>
      <c r="J60" s="51">
        <f t="shared" si="0"/>
        <v>4.7014925373137784E-3</v>
      </c>
      <c r="K60" s="33" t="s">
        <v>228</v>
      </c>
    </row>
    <row r="61" spans="1:11" ht="15.6" thickTop="1" thickBot="1" x14ac:dyDescent="0.35">
      <c r="A61" s="34"/>
      <c r="B61" s="32"/>
      <c r="C61" s="32"/>
      <c r="D61" s="32"/>
      <c r="E61" s="32"/>
      <c r="F61" s="32"/>
      <c r="G61" s="12" t="s">
        <v>240</v>
      </c>
      <c r="H61" s="56">
        <f>B64</f>
        <v>0.75280898876404501</v>
      </c>
      <c r="I61" s="57">
        <f>(I52-I51)/I52</f>
        <v>0.7640449438202247</v>
      </c>
      <c r="J61" s="51">
        <f t="shared" si="0"/>
        <v>1.1235955056179692E-2</v>
      </c>
      <c r="K61" s="48" t="s">
        <v>228</v>
      </c>
    </row>
    <row r="62" spans="1:11" ht="15.6" thickTop="1" thickBot="1" x14ac:dyDescent="0.35">
      <c r="A62" s="16" t="s">
        <v>241</v>
      </c>
      <c r="B62" s="17"/>
      <c r="C62" s="32"/>
      <c r="D62" s="29" t="s">
        <v>242</v>
      </c>
      <c r="E62" s="30"/>
      <c r="F62" s="32"/>
      <c r="G62" s="42"/>
      <c r="H62" s="38"/>
      <c r="I62" s="42"/>
      <c r="J62" s="38"/>
      <c r="K62" s="42"/>
    </row>
    <row r="63" spans="1:11" ht="15.6" thickTop="1" thickBot="1" x14ac:dyDescent="0.35">
      <c r="A63" s="58" t="s">
        <v>122</v>
      </c>
      <c r="B63" s="12" t="s">
        <v>243</v>
      </c>
      <c r="C63" s="32"/>
      <c r="D63" s="33" t="s">
        <v>111</v>
      </c>
      <c r="E63" s="37">
        <v>3.8999999999999998E-3</v>
      </c>
      <c r="F63" s="32"/>
      <c r="G63" s="42"/>
      <c r="H63" s="38"/>
      <c r="I63" s="42"/>
      <c r="J63" s="38"/>
      <c r="K63" s="42"/>
    </row>
    <row r="64" spans="1:11" ht="15.6" thickTop="1" thickBot="1" x14ac:dyDescent="0.35">
      <c r="A64" s="13" t="s">
        <v>240</v>
      </c>
      <c r="B64" s="37">
        <f>(D43-D60)/D43</f>
        <v>0.75280898876404501</v>
      </c>
      <c r="C64" s="32"/>
      <c r="D64" s="33" t="s">
        <v>244</v>
      </c>
      <c r="E64" s="35">
        <v>0.02</v>
      </c>
      <c r="F64" s="32"/>
      <c r="G64" s="42"/>
      <c r="H64" s="38"/>
      <c r="I64" s="42"/>
      <c r="J64" s="38"/>
      <c r="K64" s="42"/>
    </row>
    <row r="65" spans="1:11" ht="15.6" thickTop="1" thickBot="1" x14ac:dyDescent="0.35">
      <c r="A65" s="13" t="s">
        <v>245</v>
      </c>
      <c r="B65" s="37">
        <f>E65</f>
        <v>0.99609999999999999</v>
      </c>
      <c r="C65" s="32"/>
      <c r="D65" s="33" t="s">
        <v>246</v>
      </c>
      <c r="E65" s="37">
        <f>1-E63</f>
        <v>0.99609999999999999</v>
      </c>
      <c r="F65" s="32"/>
      <c r="G65" s="32"/>
      <c r="H65" s="32"/>
      <c r="I65" s="32"/>
      <c r="J65" s="38"/>
      <c r="K65" s="32"/>
    </row>
    <row r="66" spans="1:11" ht="15.6" thickTop="1" thickBot="1" x14ac:dyDescent="0.35">
      <c r="A66" s="59" t="s">
        <v>239</v>
      </c>
      <c r="B66" s="60">
        <f>D50*D47/(D43-D60)</f>
        <v>0.94029850746268628</v>
      </c>
      <c r="C66" s="61"/>
      <c r="D66" s="33" t="s">
        <v>247</v>
      </c>
      <c r="E66" s="35">
        <f>1-E64</f>
        <v>0.98</v>
      </c>
      <c r="F66" s="32"/>
      <c r="G66" s="32"/>
      <c r="H66" s="32"/>
      <c r="I66" s="32"/>
      <c r="J66" s="38"/>
      <c r="K66" s="32"/>
    </row>
    <row r="67" spans="1:11" ht="15.6" thickTop="1" thickBot="1" x14ac:dyDescent="0.35">
      <c r="A67" s="11" t="s">
        <v>248</v>
      </c>
      <c r="B67" s="62">
        <f>B66*B65*B64</f>
        <v>0.70510449438202227</v>
      </c>
      <c r="C67" s="32"/>
      <c r="D67" s="44"/>
      <c r="E67" s="44"/>
      <c r="F67" s="32"/>
      <c r="G67" s="32"/>
      <c r="H67" s="32"/>
      <c r="I67" s="32"/>
      <c r="J67" s="32"/>
      <c r="K67" s="32"/>
    </row>
    <row r="68" spans="1:11" ht="15" thickTop="1" x14ac:dyDescent="0.3"/>
  </sheetData>
  <mergeCells count="26">
    <mergeCell ref="D52:E52"/>
    <mergeCell ref="D55:E55"/>
    <mergeCell ref="D58:E58"/>
    <mergeCell ref="A62:B62"/>
    <mergeCell ref="D62:E62"/>
    <mergeCell ref="M26:N26"/>
    <mergeCell ref="M31:N31"/>
    <mergeCell ref="M37:N37"/>
    <mergeCell ref="A42:B42"/>
    <mergeCell ref="D42:E42"/>
    <mergeCell ref="G42:I42"/>
    <mergeCell ref="D45:E45"/>
    <mergeCell ref="A48:B48"/>
    <mergeCell ref="D49:E49"/>
    <mergeCell ref="G26:I26"/>
    <mergeCell ref="B27:C27"/>
    <mergeCell ref="A29:C29"/>
    <mergeCell ref="A34:C34"/>
    <mergeCell ref="B39:C39"/>
    <mergeCell ref="B40:C40"/>
    <mergeCell ref="A1:B1"/>
    <mergeCell ref="D1:E1"/>
    <mergeCell ref="A9:C9"/>
    <mergeCell ref="A15:C15"/>
    <mergeCell ref="A19:C19"/>
    <mergeCell ref="A23:C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918F-419F-4737-9BE5-812ED655B40E}">
  <dimension ref="A1:J22"/>
  <sheetViews>
    <sheetView topLeftCell="F1" zoomScale="82" zoomScaleNormal="82" workbookViewId="0">
      <selection activeCell="F27" sqref="F27"/>
    </sheetView>
  </sheetViews>
  <sheetFormatPr baseColWidth="10" defaultRowHeight="14.4" x14ac:dyDescent="0.3"/>
  <cols>
    <col min="1" max="1" width="6.6640625" customWidth="1"/>
    <col min="2" max="2" width="19.44140625" style="86" customWidth="1"/>
    <col min="3" max="3" width="17" customWidth="1"/>
    <col min="4" max="4" width="15.33203125" customWidth="1"/>
    <col min="5" max="5" width="20.6640625" customWidth="1"/>
    <col min="6" max="6" width="19.109375" customWidth="1"/>
    <col min="7" max="7" width="18.109375" style="95" customWidth="1"/>
    <col min="8" max="8" width="18.109375" customWidth="1"/>
    <col min="9" max="9" width="18.21875" customWidth="1"/>
    <col min="10" max="10" width="11.5546875" customWidth="1"/>
  </cols>
  <sheetData>
    <row r="1" spans="1:10" ht="15.6" thickTop="1" thickBot="1" x14ac:dyDescent="0.35">
      <c r="A1" s="79" t="s">
        <v>257</v>
      </c>
      <c r="B1" s="80" t="s">
        <v>258</v>
      </c>
      <c r="C1" s="80" t="s">
        <v>259</v>
      </c>
      <c r="D1" s="80" t="s">
        <v>260</v>
      </c>
      <c r="E1" s="80" t="s">
        <v>261</v>
      </c>
      <c r="F1" s="80" t="s">
        <v>262</v>
      </c>
      <c r="G1" s="93" t="s">
        <v>263</v>
      </c>
      <c r="I1" s="91" t="s">
        <v>264</v>
      </c>
      <c r="J1" s="92"/>
    </row>
    <row r="2" spans="1:10" ht="15.6" thickTop="1" thickBot="1" x14ac:dyDescent="0.35">
      <c r="A2" s="81">
        <v>1</v>
      </c>
      <c r="B2" s="83">
        <f>'EX+Beneficios'!B11+'EX+Beneficios'!B21</f>
        <v>-912716600</v>
      </c>
      <c r="C2" s="82">
        <v>0</v>
      </c>
      <c r="D2" s="87">
        <f>C2+B2</f>
        <v>-912716600</v>
      </c>
      <c r="E2" s="87">
        <f>D2</f>
        <v>-912716600</v>
      </c>
      <c r="F2" s="84">
        <f>NPV($J$2,D2)</f>
        <v>-827860861.6780045</v>
      </c>
      <c r="G2" s="94">
        <f>F2/-$D$2</f>
        <v>-0.90702947845804982</v>
      </c>
      <c r="I2" s="88" t="s">
        <v>265</v>
      </c>
      <c r="J2" s="89">
        <v>0.10249999999999999</v>
      </c>
    </row>
    <row r="3" spans="1:10" ht="15.6" thickTop="1" thickBot="1" x14ac:dyDescent="0.35">
      <c r="A3" s="81">
        <v>2</v>
      </c>
      <c r="B3" s="83">
        <f>B2</f>
        <v>-912716600</v>
      </c>
      <c r="C3" s="83">
        <f>'EX+Beneficios'!B28</f>
        <v>1121238047.5383224</v>
      </c>
      <c r="D3" s="87">
        <f t="shared" ref="D3:D21" si="0">C3+B3</f>
        <v>208521447.53832245</v>
      </c>
      <c r="E3" s="87">
        <f>E2+D3</f>
        <v>-704195152.46167755</v>
      </c>
      <c r="F3" s="84">
        <f>NPV($J$2,$D$2:D3)</f>
        <v>-656309750.74104106</v>
      </c>
      <c r="G3" s="94">
        <f t="shared" ref="G3:G21" si="1">F3/-$D$2</f>
        <v>-0.71907287622580884</v>
      </c>
      <c r="I3" s="88" t="s">
        <v>266</v>
      </c>
      <c r="J3" s="96">
        <f>A21+(-E21/D21)</f>
        <v>5.3770873968840025</v>
      </c>
    </row>
    <row r="4" spans="1:10" ht="15.6" thickTop="1" thickBot="1" x14ac:dyDescent="0.35">
      <c r="A4" s="81">
        <v>3</v>
      </c>
      <c r="B4" s="83">
        <f t="shared" ref="B4:B21" si="2">B3</f>
        <v>-912716600</v>
      </c>
      <c r="C4" s="83">
        <f>C3</f>
        <v>1121238047.5383224</v>
      </c>
      <c r="D4" s="87">
        <f t="shared" si="0"/>
        <v>208521447.53832245</v>
      </c>
      <c r="E4" s="87">
        <f t="shared" ref="E4:E21" si="3">E3+D4</f>
        <v>-495673704.9233551</v>
      </c>
      <c r="F4" s="84">
        <f>NPV($J$2,$D$2:D4)</f>
        <v>-500707836.05898803</v>
      </c>
      <c r="G4" s="94">
        <f t="shared" si="1"/>
        <v>-0.54859069733035204</v>
      </c>
      <c r="I4" s="90" t="s">
        <v>267</v>
      </c>
      <c r="J4" s="97">
        <f>IRR(D2:D21)</f>
        <v>0.22351674056187076</v>
      </c>
    </row>
    <row r="5" spans="1:10" ht="15.6" thickTop="1" thickBot="1" x14ac:dyDescent="0.35">
      <c r="A5" s="81">
        <v>4</v>
      </c>
      <c r="B5" s="83">
        <f t="shared" si="2"/>
        <v>-912716600</v>
      </c>
      <c r="C5" s="83">
        <f t="shared" ref="C5:C21" si="4">C4</f>
        <v>1121238047.5383224</v>
      </c>
      <c r="D5" s="87">
        <f t="shared" si="0"/>
        <v>208521447.53832245</v>
      </c>
      <c r="E5" s="87">
        <f t="shared" si="3"/>
        <v>-287152257.38503265</v>
      </c>
      <c r="F5" s="84">
        <f>NPV($J$2,$D$2:D5)</f>
        <v>-359572312.53785151</v>
      </c>
      <c r="G5" s="94">
        <f t="shared" si="1"/>
        <v>-0.39395833552041404</v>
      </c>
    </row>
    <row r="6" spans="1:10" ht="15.6" thickTop="1" thickBot="1" x14ac:dyDescent="0.35">
      <c r="A6" s="81">
        <v>5</v>
      </c>
      <c r="B6" s="83">
        <f t="shared" si="2"/>
        <v>-912716600</v>
      </c>
      <c r="C6" s="83">
        <f t="shared" si="4"/>
        <v>1121238047.5383224</v>
      </c>
      <c r="D6" s="87">
        <f t="shared" si="0"/>
        <v>208521447.53832245</v>
      </c>
      <c r="E6" s="87">
        <f t="shared" si="3"/>
        <v>-78630809.846710205</v>
      </c>
      <c r="F6" s="84">
        <f>NPV($J$2,$D$2:D6)</f>
        <v>-231558232.24657121</v>
      </c>
      <c r="G6" s="94">
        <f t="shared" si="1"/>
        <v>-0.25370222503520939</v>
      </c>
    </row>
    <row r="7" spans="1:10" ht="15.6" thickTop="1" thickBot="1" x14ac:dyDescent="0.35">
      <c r="A7" s="81">
        <v>6</v>
      </c>
      <c r="B7" s="83">
        <f t="shared" si="2"/>
        <v>-912716600</v>
      </c>
      <c r="C7" s="83">
        <f t="shared" si="4"/>
        <v>1121238047.5383224</v>
      </c>
      <c r="D7" s="87">
        <f t="shared" si="0"/>
        <v>208521447.53832245</v>
      </c>
      <c r="E7" s="87">
        <f t="shared" si="3"/>
        <v>129890637.69161224</v>
      </c>
      <c r="F7" s="84">
        <f>NPV($J$2,$D$2:D7)</f>
        <v>-115445687.76468435</v>
      </c>
      <c r="G7" s="94">
        <f t="shared" si="1"/>
        <v>-0.12648579829125969</v>
      </c>
    </row>
    <row r="8" spans="1:10" ht="15.6" thickTop="1" thickBot="1" x14ac:dyDescent="0.35">
      <c r="A8" s="81">
        <v>7</v>
      </c>
      <c r="B8" s="83">
        <f t="shared" si="2"/>
        <v>-912716600</v>
      </c>
      <c r="C8" s="83">
        <f t="shared" si="4"/>
        <v>1121238047.5383224</v>
      </c>
      <c r="D8" s="87">
        <f t="shared" si="0"/>
        <v>208521447.53832245</v>
      </c>
      <c r="E8" s="87">
        <f t="shared" si="3"/>
        <v>338412085.22993469</v>
      </c>
      <c r="F8" s="84">
        <f>NPV($J$2,$D$2:D8)</f>
        <v>-10128187.100841371</v>
      </c>
      <c r="G8" s="94">
        <f t="shared" si="1"/>
        <v>-1.1096749090398237E-2</v>
      </c>
    </row>
    <row r="9" spans="1:10" ht="15.6" thickTop="1" thickBot="1" x14ac:dyDescent="0.35">
      <c r="A9" s="81">
        <v>8</v>
      </c>
      <c r="B9" s="83">
        <f t="shared" si="2"/>
        <v>-912716600</v>
      </c>
      <c r="C9" s="83">
        <f t="shared" si="4"/>
        <v>1121238047.5383224</v>
      </c>
      <c r="D9" s="87">
        <f t="shared" si="0"/>
        <v>208521447.53832245</v>
      </c>
      <c r="E9" s="87">
        <f t="shared" si="3"/>
        <v>546933532.76825714</v>
      </c>
      <c r="F9" s="84">
        <f>NPV($J$2,$D$2:D9)</f>
        <v>85397890.598789439</v>
      </c>
      <c r="G9" s="94">
        <f t="shared" si="1"/>
        <v>9.3564520026029371E-2</v>
      </c>
    </row>
    <row r="10" spans="1:10" ht="15.6" thickTop="1" thickBot="1" x14ac:dyDescent="0.35">
      <c r="A10" s="81">
        <v>9</v>
      </c>
      <c r="B10" s="83">
        <f t="shared" si="2"/>
        <v>-912716600</v>
      </c>
      <c r="C10" s="83">
        <f t="shared" si="4"/>
        <v>1121238047.5383224</v>
      </c>
      <c r="D10" s="87">
        <f t="shared" si="0"/>
        <v>208521447.53832245</v>
      </c>
      <c r="E10" s="87">
        <f t="shared" si="3"/>
        <v>755454980.30657959</v>
      </c>
      <c r="F10" s="84">
        <f>NPV($J$2,$D$2:D10)</f>
        <v>172042859.03382874</v>
      </c>
      <c r="G10" s="94">
        <f t="shared" si="1"/>
        <v>0.18849537636746033</v>
      </c>
    </row>
    <row r="11" spans="1:10" ht="15.6" thickTop="1" thickBot="1" x14ac:dyDescent="0.35">
      <c r="A11" s="81">
        <v>10</v>
      </c>
      <c r="B11" s="83">
        <f t="shared" si="2"/>
        <v>-912716600</v>
      </c>
      <c r="C11" s="83">
        <f t="shared" si="4"/>
        <v>1121238047.5383224</v>
      </c>
      <c r="D11" s="87">
        <f t="shared" si="0"/>
        <v>208521447.53832245</v>
      </c>
      <c r="E11" s="87">
        <f t="shared" si="3"/>
        <v>963976427.84490204</v>
      </c>
      <c r="F11" s="84">
        <f>NPV($J$2,$D$2:D11)</f>
        <v>250632399.56447661</v>
      </c>
      <c r="G11" s="94">
        <f t="shared" si="1"/>
        <v>0.27460046148440448</v>
      </c>
    </row>
    <row r="12" spans="1:10" ht="15.6" thickTop="1" thickBot="1" x14ac:dyDescent="0.35">
      <c r="A12" s="81">
        <v>11</v>
      </c>
      <c r="B12" s="83">
        <f t="shared" si="2"/>
        <v>-912716600</v>
      </c>
      <c r="C12" s="83">
        <f t="shared" si="4"/>
        <v>1121238047.5383224</v>
      </c>
      <c r="D12" s="87">
        <f t="shared" si="0"/>
        <v>208521447.53832245</v>
      </c>
      <c r="E12" s="87">
        <f t="shared" si="3"/>
        <v>1172497875.3832245</v>
      </c>
      <c r="F12" s="84">
        <f>NPV($J$2,$D$2:D12)</f>
        <v>321915429.52424794</v>
      </c>
      <c r="G12" s="94">
        <f t="shared" si="1"/>
        <v>0.35270031193061235</v>
      </c>
    </row>
    <row r="13" spans="1:10" ht="15.6" thickTop="1" thickBot="1" x14ac:dyDescent="0.35">
      <c r="A13" s="81">
        <v>12</v>
      </c>
      <c r="B13" s="83">
        <f t="shared" si="2"/>
        <v>-912716600</v>
      </c>
      <c r="C13" s="83">
        <f t="shared" si="4"/>
        <v>1121238047.5383224</v>
      </c>
      <c r="D13" s="87">
        <f t="shared" si="0"/>
        <v>208521447.53832245</v>
      </c>
      <c r="E13" s="87">
        <f t="shared" si="3"/>
        <v>1381019322.9215469</v>
      </c>
      <c r="F13" s="84">
        <f>NPV($J$2,$D$2:D13)</f>
        <v>386571239.01156878</v>
      </c>
      <c r="G13" s="94">
        <f t="shared" si="1"/>
        <v>0.42353917854848788</v>
      </c>
    </row>
    <row r="14" spans="1:10" ht="15.6" thickTop="1" thickBot="1" x14ac:dyDescent="0.35">
      <c r="A14" s="81">
        <v>13</v>
      </c>
      <c r="B14" s="83">
        <f t="shared" si="2"/>
        <v>-912716600</v>
      </c>
      <c r="C14" s="83">
        <f t="shared" si="4"/>
        <v>1121238047.5383224</v>
      </c>
      <c r="D14" s="87">
        <f t="shared" si="0"/>
        <v>208521447.53832245</v>
      </c>
      <c r="E14" s="87">
        <f t="shared" si="3"/>
        <v>1589540770.4598694</v>
      </c>
      <c r="F14" s="84">
        <f>NPV($J$2,$D$2:D14)</f>
        <v>445215964.17013651</v>
      </c>
      <c r="G14" s="94">
        <f t="shared" si="1"/>
        <v>0.48779211879145895</v>
      </c>
    </row>
    <row r="15" spans="1:10" ht="15.6" thickTop="1" thickBot="1" x14ac:dyDescent="0.35">
      <c r="A15" s="81">
        <v>14</v>
      </c>
      <c r="B15" s="83">
        <f t="shared" si="2"/>
        <v>-912716600</v>
      </c>
      <c r="C15" s="83">
        <f t="shared" si="4"/>
        <v>1121238047.5383224</v>
      </c>
      <c r="D15" s="87">
        <f t="shared" si="0"/>
        <v>208521447.53832245</v>
      </c>
      <c r="E15" s="87">
        <f t="shared" si="3"/>
        <v>1798062217.9981918</v>
      </c>
      <c r="F15" s="84">
        <f>NPV($J$2,$D$2:D15)</f>
        <v>498408458.64502782</v>
      </c>
      <c r="G15" s="94">
        <f t="shared" si="1"/>
        <v>0.54607142966943711</v>
      </c>
    </row>
    <row r="16" spans="1:10" ht="15.6" thickTop="1" thickBot="1" x14ac:dyDescent="0.35">
      <c r="A16" s="81">
        <v>15</v>
      </c>
      <c r="B16" s="83">
        <f t="shared" si="2"/>
        <v>-912716600</v>
      </c>
      <c r="C16" s="83">
        <f t="shared" si="4"/>
        <v>1121238047.5383224</v>
      </c>
      <c r="D16" s="87">
        <f t="shared" si="0"/>
        <v>208521447.53832245</v>
      </c>
      <c r="E16" s="87">
        <f t="shared" si="3"/>
        <v>2006583665.5365143</v>
      </c>
      <c r="F16" s="84">
        <f>NPV($J$2,$D$2:D16)</f>
        <v>546655619.16647112</v>
      </c>
      <c r="G16" s="94">
        <f t="shared" si="1"/>
        <v>0.59893248261998422</v>
      </c>
    </row>
    <row r="17" spans="1:7" ht="15.6" thickTop="1" thickBot="1" x14ac:dyDescent="0.35">
      <c r="A17" s="81">
        <v>16</v>
      </c>
      <c r="B17" s="83">
        <f t="shared" si="2"/>
        <v>-912716600</v>
      </c>
      <c r="C17" s="83">
        <f t="shared" si="4"/>
        <v>1121238047.5383224</v>
      </c>
      <c r="D17" s="87">
        <f t="shared" si="0"/>
        <v>208521447.53832245</v>
      </c>
      <c r="E17" s="87">
        <f t="shared" si="3"/>
        <v>2215105113.0748367</v>
      </c>
      <c r="F17" s="84">
        <f>NPV($J$2,$D$2:D17)</f>
        <v>590417216.01131773</v>
      </c>
      <c r="G17" s="94">
        <f t="shared" si="1"/>
        <v>0.64687901590846242</v>
      </c>
    </row>
    <row r="18" spans="1:7" ht="15.6" thickTop="1" thickBot="1" x14ac:dyDescent="0.35">
      <c r="A18" s="81">
        <v>17</v>
      </c>
      <c r="B18" s="83">
        <f t="shared" si="2"/>
        <v>-912716600</v>
      </c>
      <c r="C18" s="83">
        <f t="shared" si="4"/>
        <v>1121238047.5383224</v>
      </c>
      <c r="D18" s="87">
        <f t="shared" si="0"/>
        <v>208521447.53832245</v>
      </c>
      <c r="E18" s="87">
        <f t="shared" si="3"/>
        <v>2423626560.6131592</v>
      </c>
      <c r="F18" s="84">
        <f>NPV($J$2,$D$2:D18)</f>
        <v>630110274.37399042</v>
      </c>
      <c r="G18" s="94">
        <f t="shared" si="1"/>
        <v>0.69036793499098237</v>
      </c>
    </row>
    <row r="19" spans="1:7" ht="15.6" thickTop="1" thickBot="1" x14ac:dyDescent="0.35">
      <c r="A19" s="81">
        <v>18</v>
      </c>
      <c r="B19" s="83">
        <f t="shared" si="2"/>
        <v>-912716600</v>
      </c>
      <c r="C19" s="83">
        <f t="shared" si="4"/>
        <v>1121238047.5383224</v>
      </c>
      <c r="D19" s="87">
        <f t="shared" si="0"/>
        <v>208521447.53832245</v>
      </c>
      <c r="E19" s="87">
        <f t="shared" si="3"/>
        <v>2632148008.1514816</v>
      </c>
      <c r="F19" s="84">
        <f>NPV($J$2,$D$2:D19)</f>
        <v>666113048.39909041</v>
      </c>
      <c r="G19" s="94">
        <f t="shared" si="1"/>
        <v>0.72981366658510471</v>
      </c>
    </row>
    <row r="20" spans="1:7" ht="15.6" thickTop="1" thickBot="1" x14ac:dyDescent="0.35">
      <c r="A20" s="81">
        <v>19</v>
      </c>
      <c r="B20" s="83">
        <f t="shared" si="2"/>
        <v>-912716600</v>
      </c>
      <c r="C20" s="83">
        <f t="shared" si="4"/>
        <v>1121238047.5383224</v>
      </c>
      <c r="D20" s="87">
        <f t="shared" si="0"/>
        <v>208521447.53832245</v>
      </c>
      <c r="E20" s="87">
        <f t="shared" si="3"/>
        <v>2840669455.6898041</v>
      </c>
      <c r="F20" s="84">
        <f>NPV($J$2,$D$2:D20)</f>
        <v>698768625.74611974</v>
      </c>
      <c r="G20" s="94">
        <f t="shared" si="1"/>
        <v>0.76559210794031762</v>
      </c>
    </row>
    <row r="21" spans="1:7" ht="15.6" thickTop="1" thickBot="1" x14ac:dyDescent="0.35">
      <c r="A21" s="81">
        <v>20</v>
      </c>
      <c r="B21" s="83">
        <f t="shared" si="2"/>
        <v>-912716600</v>
      </c>
      <c r="C21" s="83">
        <f t="shared" si="4"/>
        <v>1121238047.5383224</v>
      </c>
      <c r="D21" s="87">
        <f t="shared" si="0"/>
        <v>208521447.53832245</v>
      </c>
      <c r="E21" s="87">
        <f t="shared" si="3"/>
        <v>3049190903.2281265</v>
      </c>
      <c r="F21" s="84">
        <f>NPV($J$2,$D$2:D21)</f>
        <v>728388197.03594232</v>
      </c>
      <c r="G21" s="94">
        <f t="shared" si="1"/>
        <v>0.79804420894277839</v>
      </c>
    </row>
    <row r="22" spans="1:7" ht="15" thickTop="1" x14ac:dyDescent="0.3"/>
  </sheetData>
  <mergeCells count="1">
    <mergeCell ref="I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5D88-B3AB-4F2E-9282-ECA8E74E60C6}">
  <dimension ref="A1:E12"/>
  <sheetViews>
    <sheetView tabSelected="1" topLeftCell="B1" zoomScale="107" zoomScaleNormal="107" workbookViewId="0">
      <selection activeCell="G24" sqref="G24"/>
    </sheetView>
  </sheetViews>
  <sheetFormatPr baseColWidth="10" defaultRowHeight="14.4" x14ac:dyDescent="0.3"/>
  <cols>
    <col min="1" max="1" width="6.6640625" customWidth="1"/>
    <col min="2" max="2" width="27.21875" customWidth="1"/>
    <col min="3" max="3" width="20.21875" customWidth="1"/>
    <col min="4" max="4" width="18.88671875" customWidth="1"/>
    <col min="5" max="5" width="17.21875" customWidth="1"/>
  </cols>
  <sheetData>
    <row r="1" spans="1:5" ht="28.2" thickTop="1" thickBot="1" x14ac:dyDescent="0.35">
      <c r="A1" s="79" t="s">
        <v>274</v>
      </c>
      <c r="B1" s="105" t="s">
        <v>278</v>
      </c>
      <c r="C1" s="80" t="s">
        <v>275</v>
      </c>
      <c r="D1" s="80" t="s">
        <v>277</v>
      </c>
      <c r="E1" s="80" t="s">
        <v>276</v>
      </c>
    </row>
    <row r="2" spans="1:5" ht="15.6" thickTop="1" thickBot="1" x14ac:dyDescent="0.35">
      <c r="A2" s="81">
        <v>0</v>
      </c>
      <c r="B2" s="106" t="s">
        <v>286</v>
      </c>
      <c r="C2" s="104">
        <v>0</v>
      </c>
      <c r="D2" s="85">
        <v>0</v>
      </c>
      <c r="E2" s="87">
        <f>D2</f>
        <v>0</v>
      </c>
    </row>
    <row r="3" spans="1:5" ht="15.6" thickTop="1" thickBot="1" x14ac:dyDescent="0.35">
      <c r="A3" s="81">
        <v>1</v>
      </c>
      <c r="B3" s="106" t="s">
        <v>287</v>
      </c>
      <c r="C3" s="104">
        <v>0.01</v>
      </c>
      <c r="D3" s="85">
        <f>-C3*'EX+Beneficios'!$B$21</f>
        <v>7402166</v>
      </c>
      <c r="E3" s="87">
        <f>D3</f>
        <v>7402166</v>
      </c>
    </row>
    <row r="4" spans="1:5" ht="15.6" thickTop="1" thickBot="1" x14ac:dyDescent="0.35">
      <c r="A4" s="81">
        <v>2</v>
      </c>
      <c r="B4" s="106" t="s">
        <v>279</v>
      </c>
      <c r="C4" s="104">
        <v>0.15</v>
      </c>
      <c r="D4" s="85">
        <f>-C4*'EX+Beneficios'!$B$21</f>
        <v>111032490</v>
      </c>
      <c r="E4" s="87">
        <f>E3+D4</f>
        <v>118434656</v>
      </c>
    </row>
    <row r="5" spans="1:5" ht="15.6" thickTop="1" thickBot="1" x14ac:dyDescent="0.35">
      <c r="A5" s="81">
        <v>3</v>
      </c>
      <c r="B5" s="106" t="s">
        <v>285</v>
      </c>
      <c r="C5" s="104">
        <v>0.5</v>
      </c>
      <c r="D5" s="85">
        <f>-C5*'EX+Beneficios'!$B$21</f>
        <v>370108300</v>
      </c>
      <c r="E5" s="87">
        <f t="shared" ref="E5:E10" si="0">E4+D5</f>
        <v>488542956</v>
      </c>
    </row>
    <row r="6" spans="1:5" ht="15.6" thickTop="1" thickBot="1" x14ac:dyDescent="0.35">
      <c r="A6" s="81">
        <v>4</v>
      </c>
      <c r="B6" s="106" t="s">
        <v>280</v>
      </c>
      <c r="C6" s="104">
        <v>0.1</v>
      </c>
      <c r="D6" s="85">
        <f>-C6*'EX+Beneficios'!$B$21</f>
        <v>74021660</v>
      </c>
      <c r="E6" s="87">
        <f t="shared" si="0"/>
        <v>562564616</v>
      </c>
    </row>
    <row r="7" spans="1:5" ht="15.6" thickTop="1" thickBot="1" x14ac:dyDescent="0.35">
      <c r="A7" s="81">
        <v>5</v>
      </c>
      <c r="B7" s="106" t="s">
        <v>281</v>
      </c>
      <c r="C7" s="104">
        <v>0.08</v>
      </c>
      <c r="D7" s="85">
        <f>-C7*'EX+Beneficios'!$B$21</f>
        <v>59217328</v>
      </c>
      <c r="E7" s="87">
        <f t="shared" si="0"/>
        <v>621781944</v>
      </c>
    </row>
    <row r="8" spans="1:5" ht="15.6" thickTop="1" thickBot="1" x14ac:dyDescent="0.35">
      <c r="A8" s="81">
        <v>6</v>
      </c>
      <c r="B8" s="106" t="s">
        <v>282</v>
      </c>
      <c r="C8" s="104">
        <v>0.1</v>
      </c>
      <c r="D8" s="85">
        <f>-C8*'EX+Beneficios'!$B$21</f>
        <v>74021660</v>
      </c>
      <c r="E8" s="87">
        <f t="shared" si="0"/>
        <v>695803604</v>
      </c>
    </row>
    <row r="9" spans="1:5" ht="15.6" thickTop="1" thickBot="1" x14ac:dyDescent="0.35">
      <c r="A9" s="81">
        <v>7</v>
      </c>
      <c r="B9" s="106" t="s">
        <v>283</v>
      </c>
      <c r="C9" s="104">
        <v>0.04</v>
      </c>
      <c r="D9" s="85">
        <f>-C9*'EX+Beneficios'!$B$21</f>
        <v>29608664</v>
      </c>
      <c r="E9" s="87">
        <f t="shared" si="0"/>
        <v>725412268</v>
      </c>
    </row>
    <row r="10" spans="1:5" ht="15.6" thickTop="1" thickBot="1" x14ac:dyDescent="0.35">
      <c r="A10" s="81">
        <v>8</v>
      </c>
      <c r="B10" s="106" t="s">
        <v>284</v>
      </c>
      <c r="C10" s="104">
        <v>0.02</v>
      </c>
      <c r="D10" s="85">
        <f>-C10*'EX+Beneficios'!$B$21</f>
        <v>14804332</v>
      </c>
      <c r="E10" s="87">
        <f t="shared" si="0"/>
        <v>740216600</v>
      </c>
    </row>
    <row r="11" spans="1:5" ht="15" thickTop="1" x14ac:dyDescent="0.3">
      <c r="C11" s="14"/>
    </row>
    <row r="12" spans="1:5" x14ac:dyDescent="0.3">
      <c r="C12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Adquisiciones</vt:lpstr>
      <vt:lpstr>EX+Beneficios</vt:lpstr>
      <vt:lpstr>Producción</vt:lpstr>
      <vt:lpstr>Flujo de Caja</vt:lpstr>
      <vt:lpstr>Curva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Rojas Cobos</dc:creator>
  <cp:lastModifiedBy>Juan Antonio Rojas Cobos</cp:lastModifiedBy>
  <dcterms:created xsi:type="dcterms:W3CDTF">2026-07-12T21:53:34Z</dcterms:created>
  <dcterms:modified xsi:type="dcterms:W3CDTF">2026-07-12T23:55:47Z</dcterms:modified>
</cp:coreProperties>
</file>