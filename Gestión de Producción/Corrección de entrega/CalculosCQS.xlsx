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ompa\Documents\2026A\APM\Proyecto-APM---2026-1S\Gestión de Producción\Corrección de entrega\"/>
    </mc:Choice>
  </mc:AlternateContent>
  <xr:revisionPtr revIDLastSave="0" documentId="13_ncr:1_{E9FCD3C1-BEFC-4B94-AC82-D20F2A660EF4}" xr6:coauthVersionLast="47" xr6:coauthVersionMax="47" xr10:uidLastSave="{00000000-0000-0000-0000-000000000000}"/>
  <bookViews>
    <workbookView xWindow="-108" yWindow="-108" windowWidth="23256" windowHeight="12576" xr2:uid="{8D13AF91-1B32-462F-BA97-F85D340900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7" i="1" l="1"/>
  <c r="K130" i="1"/>
  <c r="K126" i="1"/>
  <c r="I144" i="1"/>
  <c r="B157" i="1"/>
  <c r="B145" i="1"/>
  <c r="E130" i="1"/>
  <c r="B144" i="1"/>
  <c r="B135" i="1"/>
  <c r="B115" i="1"/>
  <c r="B110" i="1"/>
  <c r="B107" i="1"/>
  <c r="B106" i="1"/>
  <c r="B105" i="1"/>
  <c r="B103" i="1"/>
  <c r="J94" i="1"/>
  <c r="J93" i="1"/>
  <c r="J92" i="1"/>
  <c r="I93" i="1"/>
  <c r="I94" i="1"/>
  <c r="I92" i="1"/>
  <c r="G94" i="1"/>
  <c r="G93" i="1"/>
  <c r="G92" i="1"/>
  <c r="F94" i="1"/>
  <c r="F93" i="1"/>
  <c r="F92" i="1"/>
  <c r="K88" i="1"/>
  <c r="K87" i="1"/>
  <c r="D94" i="1"/>
  <c r="D93" i="1"/>
  <c r="D92" i="1"/>
  <c r="B86" i="1"/>
  <c r="B84" i="1"/>
  <c r="B83" i="1"/>
  <c r="F8" i="1"/>
  <c r="B7" i="1"/>
</calcChain>
</file>

<file path=xl/sharedStrings.xml><?xml version="1.0" encoding="utf-8"?>
<sst xmlns="http://schemas.openxmlformats.org/spreadsheetml/2006/main" count="58" uniqueCount="57">
  <si>
    <t>Coca cola 2L, Quatro 1.75L, Sprote 1.5L</t>
  </si>
  <si>
    <t>Son formatos grandes, entonces tenemos :</t>
  </si>
  <si>
    <t>Tiempo alistamiento (horas)</t>
  </si>
  <si>
    <t>Turnos</t>
  </si>
  <si>
    <t>Horas de trabajo</t>
  </si>
  <si>
    <t>Tiempo de saneamiento (minutos)</t>
  </si>
  <si>
    <t>Rp</t>
  </si>
  <si>
    <t>Esta informacion la obtuvimos directamente del ingeniero de manufactura</t>
  </si>
  <si>
    <t>Para calcular takt timmer, tenemos que saber la demanda</t>
  </si>
  <si>
    <t>Entonces se hizo un analisis de mercado</t>
  </si>
  <si>
    <t>En la imagen observamos que colombia en un año consumio :</t>
  </si>
  <si>
    <t>352.3 millones de cajas</t>
  </si>
  <si>
    <t>En nuestro caso, tenemos interes por las presentaciones familiares, asi que la siguiente tabla muestra informacion respecto a esto</t>
  </si>
  <si>
    <t>Bebidas carbonatadas</t>
  </si>
  <si>
    <t>Presentacion Familiar</t>
  </si>
  <si>
    <t>Consumo Diario</t>
  </si>
  <si>
    <t>Cajas diarias</t>
  </si>
  <si>
    <t>En este estudio no esta clasificado, de ese porcentaje de bebidas carbonatadas, cuanto es coca cola, sprite, quatro, ginger. Sin embargo hay un estudio de la revista semana que indica que coca cola esta entre el 50-60 % de la mas consumida, entonces bajo esa suposicion podemos decir 55% de esas cajas es coca cola, en el mismo estudio tenemos 3% sprite y 3% quatro</t>
  </si>
  <si>
    <t>Cocacola</t>
  </si>
  <si>
    <t>Quatro</t>
  </si>
  <si>
    <t>Sprite</t>
  </si>
  <si>
    <t>Hay que hacer una aclaracion y es que coca cola muestra los productos de una manera estandarizada ya que como bien sabemos los productos de ellos son en una gran variedad de presentaciones, entonces ellos hablan de cajas de 24 unidades por 8 onzas</t>
  </si>
  <si>
    <t>litros</t>
  </si>
  <si>
    <t>mililitros diarios</t>
  </si>
  <si>
    <t>Asumiendo un 50% de esto es asociado al producto que tenemos dada una distribucion de LATAM</t>
  </si>
  <si>
    <t>Demanda Diaria (Unidades)</t>
  </si>
  <si>
    <t>minutos</t>
  </si>
  <si>
    <t>Tiempo planeacion de ejecucion</t>
  </si>
  <si>
    <t>Tiempo de ciclo (s)</t>
  </si>
  <si>
    <t>Takt Timmer (CocaCola)  (s)</t>
  </si>
  <si>
    <t>Takt Timmer (Quatro)  (s)</t>
  </si>
  <si>
    <t>Takt Timmer (Sprite)  (s)</t>
  </si>
  <si>
    <t>PC (Unidades/ diarias)</t>
  </si>
  <si>
    <t>Calculo del OEE</t>
  </si>
  <si>
    <t>A (Disponibilidad)</t>
  </si>
  <si>
    <t>Para el tiempo de ejecucion real, tenemos que analizar temas de paradas, cuanto tiempo tenemos en parada para la planta y cosas de eso, analizando una planta embotelladora de un estudio obtenemos algunos datos</t>
  </si>
  <si>
    <t>Paradas</t>
  </si>
  <si>
    <t>Q (calidad)</t>
  </si>
  <si>
    <t>Dato en algun documento</t>
  </si>
  <si>
    <t>Dato ingeniero de manufactura</t>
  </si>
  <si>
    <t>Eficiencia</t>
  </si>
  <si>
    <t>OEE</t>
  </si>
  <si>
    <t>Este valor lo sacamos de algunas tesis, puesto que es bien dificil encontrar el valor el tiempo de ciclo real, entre otros valores que se necesitan para calcular este valor teoricamente</t>
  </si>
  <si>
    <t>MLT</t>
  </si>
  <si>
    <t>Soplado</t>
  </si>
  <si>
    <t>Enjuagado</t>
  </si>
  <si>
    <t>Llenado</t>
  </si>
  <si>
    <t>Tapado</t>
  </si>
  <si>
    <t>Etiquetado</t>
  </si>
  <si>
    <t>Codificado</t>
  </si>
  <si>
    <t>Embalaje</t>
  </si>
  <si>
    <t>Paletizado</t>
  </si>
  <si>
    <t>Almacenamiento</t>
  </si>
  <si>
    <t>Tiempo(s)</t>
  </si>
  <si>
    <t>Aqui tambien sumamos los tiempos de Setup</t>
  </si>
  <si>
    <t>Al pasarlos a segundos</t>
  </si>
  <si>
    <t>MLT (segundos)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</si>
</sst>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2" fillId="0" borderId="0" xfId="0" applyFont="1"/>
    <xf numFmtId="2" fontId="0" fillId="0" borderId="0" xfId="1" applyNumberFormat="1" applyFont="1"/>
    <xf numFmtId="2" fontId="0" fillId="0" borderId="0" xfId="0" applyNumberFormat="1"/>
    <xf numFmtId="0" fontId="2" fillId="2" borderId="0" xfId="0" applyFont="1" applyFill="1"/>
    <xf numFmtId="0" fontId="0" fillId="3" borderId="1" xfId="0" applyFill="1" applyBorder="1"/>
    <xf numFmtId="0" fontId="0" fillId="0" borderId="0" xfId="0" applyAlignment="1">
      <alignment horizontal="center" wrapText="1"/>
    </xf>
    <xf numFmtId="0" fontId="2" fillId="0" borderId="0" xfId="0" applyFont="1" applyAlignment="1">
      <alignment horizontal="center" wrapText="1"/>
    </xf>
    <xf numFmtId="0" fontId="3" fillId="0" borderId="0" xfId="0" applyFont="1" applyAlignment="1">
      <alignment horizontal="lef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8964</xdr:rowOff>
    </xdr:from>
    <xdr:to>
      <xdr:col>6</xdr:col>
      <xdr:colOff>184750</xdr:colOff>
      <xdr:row>40</xdr:row>
      <xdr:rowOff>78457</xdr:rowOff>
    </xdr:to>
    <xdr:pic>
      <xdr:nvPicPr>
        <xdr:cNvPr id="4" name="Picture 3">
          <a:extLst>
            <a:ext uri="{FF2B5EF4-FFF2-40B4-BE49-F238E27FC236}">
              <a16:creationId xmlns:a16="http://schemas.microsoft.com/office/drawing/2014/main" id="{A80D1F70-F3D3-A97D-9121-B2D8D5E22DDF}"/>
            </a:ext>
          </a:extLst>
        </xdr:cNvPr>
        <xdr:cNvPicPr>
          <a:picLocks noChangeAspect="1"/>
        </xdr:cNvPicPr>
      </xdr:nvPicPr>
      <xdr:blipFill>
        <a:blip xmlns:r="http://schemas.openxmlformats.org/officeDocument/2006/relationships" r:embed="rId1"/>
        <a:stretch>
          <a:fillRect/>
        </a:stretch>
      </xdr:blipFill>
      <xdr:spPr>
        <a:xfrm>
          <a:off x="0" y="2519082"/>
          <a:ext cx="9310821" cy="4731140"/>
        </a:xfrm>
        <a:prstGeom prst="rect">
          <a:avLst/>
        </a:prstGeom>
      </xdr:spPr>
    </xdr:pic>
    <xdr:clientData/>
  </xdr:twoCellAnchor>
  <xdr:twoCellAnchor editAs="oneCell">
    <xdr:from>
      <xdr:col>0</xdr:col>
      <xdr:colOff>0</xdr:colOff>
      <xdr:row>45</xdr:row>
      <xdr:rowOff>0</xdr:rowOff>
    </xdr:from>
    <xdr:to>
      <xdr:col>7</xdr:col>
      <xdr:colOff>1344706</xdr:colOff>
      <xdr:row>75</xdr:row>
      <xdr:rowOff>146490</xdr:rowOff>
    </xdr:to>
    <xdr:pic>
      <xdr:nvPicPr>
        <xdr:cNvPr id="5" name="Picture 4">
          <a:extLst>
            <a:ext uri="{FF2B5EF4-FFF2-40B4-BE49-F238E27FC236}">
              <a16:creationId xmlns:a16="http://schemas.microsoft.com/office/drawing/2014/main" id="{4FC3654D-4539-A841-D148-7B3AB2273D12}"/>
            </a:ext>
          </a:extLst>
        </xdr:cNvPr>
        <xdr:cNvPicPr>
          <a:picLocks noChangeAspect="1"/>
        </xdr:cNvPicPr>
      </xdr:nvPicPr>
      <xdr:blipFill>
        <a:blip xmlns:r="http://schemas.openxmlformats.org/officeDocument/2006/relationships" r:embed="rId2"/>
        <a:stretch>
          <a:fillRect/>
        </a:stretch>
      </xdr:blipFill>
      <xdr:spPr>
        <a:xfrm>
          <a:off x="0" y="8068235"/>
          <a:ext cx="11187953" cy="55253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9FA2B-2021-4040-8700-B647C56789ED}">
  <dimension ref="A1:M157"/>
  <sheetViews>
    <sheetView tabSelected="1" topLeftCell="B122" zoomScale="85" zoomScaleNormal="85" workbookViewId="0">
      <selection activeCell="K143" sqref="K143"/>
    </sheetView>
  </sheetViews>
  <sheetFormatPr defaultRowHeight="14.4" x14ac:dyDescent="0.3"/>
  <cols>
    <col min="1" max="1" width="53.21875" customWidth="1"/>
    <col min="2" max="2" width="22.109375" customWidth="1"/>
    <col min="3" max="3" width="10.6640625" customWidth="1"/>
    <col min="4" max="4" width="18.21875" customWidth="1"/>
    <col min="5" max="5" width="11.6640625" customWidth="1"/>
    <col min="6" max="6" width="17.21875" customWidth="1"/>
    <col min="7" max="7" width="10.44140625" customWidth="1"/>
    <col min="8" max="8" width="20.44140625" customWidth="1"/>
    <col min="9" max="9" width="14.109375" customWidth="1"/>
    <col min="10" max="10" width="25.5546875" customWidth="1"/>
    <col min="11" max="11" width="58.88671875" customWidth="1"/>
  </cols>
  <sheetData>
    <row r="1" spans="1:11" x14ac:dyDescent="0.3">
      <c r="A1" t="s">
        <v>0</v>
      </c>
    </row>
    <row r="3" spans="1:11" x14ac:dyDescent="0.3">
      <c r="A3" t="s">
        <v>1</v>
      </c>
    </row>
    <row r="7" spans="1:11" x14ac:dyDescent="0.3">
      <c r="A7" t="s">
        <v>2</v>
      </c>
      <c r="B7">
        <f>1</f>
        <v>1</v>
      </c>
      <c r="E7" t="s">
        <v>3</v>
      </c>
      <c r="F7" t="s">
        <v>4</v>
      </c>
    </row>
    <row r="8" spans="1:11" x14ac:dyDescent="0.3">
      <c r="A8" t="s">
        <v>5</v>
      </c>
      <c r="B8">
        <v>10</v>
      </c>
      <c r="E8">
        <v>2</v>
      </c>
      <c r="F8">
        <f>E8*8</f>
        <v>16</v>
      </c>
    </row>
    <row r="9" spans="1:11" x14ac:dyDescent="0.3">
      <c r="A9" t="s">
        <v>6</v>
      </c>
      <c r="B9">
        <v>20000</v>
      </c>
      <c r="K9" t="s">
        <v>7</v>
      </c>
    </row>
    <row r="12" spans="1:11" x14ac:dyDescent="0.3">
      <c r="A12" s="8" t="s">
        <v>8</v>
      </c>
    </row>
    <row r="13" spans="1:11" x14ac:dyDescent="0.3">
      <c r="A13" s="8"/>
    </row>
    <row r="14" spans="1:11" x14ac:dyDescent="0.3">
      <c r="A14" t="s">
        <v>9</v>
      </c>
    </row>
    <row r="43" spans="1:4" x14ac:dyDescent="0.3">
      <c r="A43" t="s">
        <v>10</v>
      </c>
      <c r="B43" s="1" t="s">
        <v>11</v>
      </c>
      <c r="D43" s="2">
        <v>352300000</v>
      </c>
    </row>
    <row r="78" spans="1:1" x14ac:dyDescent="0.3">
      <c r="A78" s="6" t="s">
        <v>12</v>
      </c>
    </row>
    <row r="79" spans="1:1" x14ac:dyDescent="0.3">
      <c r="A79" s="6"/>
    </row>
    <row r="80" spans="1:1" x14ac:dyDescent="0.3">
      <c r="A80" s="6"/>
    </row>
    <row r="82" spans="1:13" x14ac:dyDescent="0.3">
      <c r="H82" s="6" t="s">
        <v>21</v>
      </c>
      <c r="I82" s="6"/>
      <c r="J82" s="6"/>
      <c r="K82" s="6"/>
      <c r="L82" s="6"/>
      <c r="M82" s="6"/>
    </row>
    <row r="83" spans="1:13" x14ac:dyDescent="0.3">
      <c r="A83" t="s">
        <v>13</v>
      </c>
      <c r="B83" s="3">
        <f>D43*0.76</f>
        <v>267748000</v>
      </c>
      <c r="H83" s="6"/>
      <c r="I83" s="6"/>
      <c r="J83" s="6"/>
      <c r="K83" s="6"/>
      <c r="L83" s="6"/>
      <c r="M83" s="6"/>
    </row>
    <row r="84" spans="1:13" x14ac:dyDescent="0.3">
      <c r="A84" t="s">
        <v>14</v>
      </c>
      <c r="B84">
        <f>B83*0.7</f>
        <v>187423600</v>
      </c>
      <c r="H84" s="6"/>
      <c r="I84" s="6"/>
      <c r="J84" s="6"/>
      <c r="K84" s="6"/>
      <c r="L84" s="6"/>
      <c r="M84" s="6"/>
    </row>
    <row r="85" spans="1:13" x14ac:dyDescent="0.3">
      <c r="H85" s="6"/>
      <c r="I85" s="6"/>
      <c r="J85" s="6"/>
      <c r="K85" s="6"/>
      <c r="L85" s="6"/>
      <c r="M85" s="6"/>
    </row>
    <row r="86" spans="1:13" x14ac:dyDescent="0.3">
      <c r="A86" t="s">
        <v>15</v>
      </c>
      <c r="B86">
        <f>B84/365</f>
        <v>513489.31506849313</v>
      </c>
    </row>
    <row r="87" spans="1:13" x14ac:dyDescent="0.3">
      <c r="K87">
        <f>24*237</f>
        <v>5688</v>
      </c>
    </row>
    <row r="88" spans="1:13" x14ac:dyDescent="0.3">
      <c r="K88">
        <f>K87/1000</f>
        <v>5.6879999999999997</v>
      </c>
      <c r="L88" t="s">
        <v>22</v>
      </c>
    </row>
    <row r="90" spans="1:13" ht="14.4" customHeight="1" x14ac:dyDescent="0.3">
      <c r="A90" s="6" t="s">
        <v>17</v>
      </c>
      <c r="I90" t="s">
        <v>24</v>
      </c>
    </row>
    <row r="91" spans="1:13" x14ac:dyDescent="0.3">
      <c r="A91" s="6"/>
      <c r="D91" t="s">
        <v>16</v>
      </c>
      <c r="F91" t="s">
        <v>23</v>
      </c>
      <c r="J91" s="4" t="s">
        <v>25</v>
      </c>
    </row>
    <row r="92" spans="1:13" x14ac:dyDescent="0.3">
      <c r="A92" s="6"/>
      <c r="C92" t="s">
        <v>18</v>
      </c>
      <c r="D92">
        <f>B86*0.5</f>
        <v>256744.65753424657</v>
      </c>
      <c r="F92">
        <f>D92*K87</f>
        <v>1460363612.0547945</v>
      </c>
      <c r="G92">
        <f>F92/1000</f>
        <v>1460363.6120547946</v>
      </c>
      <c r="I92">
        <f>G92*0.5</f>
        <v>730181.80602739728</v>
      </c>
      <c r="J92" s="4">
        <f>I92/2</f>
        <v>365090.90301369864</v>
      </c>
    </row>
    <row r="93" spans="1:13" x14ac:dyDescent="0.3">
      <c r="A93" s="6"/>
      <c r="C93" t="s">
        <v>19</v>
      </c>
      <c r="D93">
        <f>B86*0.03</f>
        <v>15404.679452054794</v>
      </c>
      <c r="F93">
        <f>D93*K87</f>
        <v>87621816.723287672</v>
      </c>
      <c r="G93">
        <f>F93/1000</f>
        <v>87621.816723287673</v>
      </c>
      <c r="I93">
        <f t="shared" ref="I93:I94" si="0">G93*0.5</f>
        <v>43810.908361643837</v>
      </c>
      <c r="J93" s="4">
        <f>I93/1.75</f>
        <v>25034.804778082191</v>
      </c>
    </row>
    <row r="94" spans="1:13" x14ac:dyDescent="0.3">
      <c r="A94" s="6"/>
      <c r="C94" t="s">
        <v>20</v>
      </c>
      <c r="D94">
        <f>B86*0.03</f>
        <v>15404.679452054794</v>
      </c>
      <c r="F94">
        <f>K87*D94</f>
        <v>87621816.723287672</v>
      </c>
      <c r="G94">
        <f>F94/1000</f>
        <v>87621.816723287673</v>
      </c>
      <c r="I94">
        <f t="shared" si="0"/>
        <v>43810.908361643837</v>
      </c>
      <c r="J94" s="4">
        <f>I94/1.5</f>
        <v>29207.272241095892</v>
      </c>
    </row>
    <row r="95" spans="1:13" x14ac:dyDescent="0.3">
      <c r="A95" s="6"/>
    </row>
    <row r="96" spans="1:13" x14ac:dyDescent="0.3">
      <c r="A96" s="6"/>
    </row>
    <row r="97" spans="1:2" x14ac:dyDescent="0.3">
      <c r="A97" s="6"/>
    </row>
    <row r="103" spans="1:2" x14ac:dyDescent="0.3">
      <c r="A103" t="s">
        <v>27</v>
      </c>
      <c r="B103">
        <f>F8-B7-(B8/60)</f>
        <v>14.833333333333334</v>
      </c>
    </row>
    <row r="105" spans="1:2" x14ac:dyDescent="0.3">
      <c r="A105" t="s">
        <v>29</v>
      </c>
      <c r="B105">
        <f>B103*3600/J92</f>
        <v>0.14626494267373288</v>
      </c>
    </row>
    <row r="106" spans="1:2" x14ac:dyDescent="0.3">
      <c r="A106" t="s">
        <v>30</v>
      </c>
      <c r="B106">
        <f>B103*3600/J93</f>
        <v>2.1330304139919378</v>
      </c>
    </row>
    <row r="107" spans="1:2" x14ac:dyDescent="0.3">
      <c r="A107" t="s">
        <v>31</v>
      </c>
      <c r="B107">
        <f>B103*3600/J94</f>
        <v>1.8283117834216609</v>
      </c>
    </row>
    <row r="110" spans="1:2" x14ac:dyDescent="0.3">
      <c r="A110" t="s">
        <v>28</v>
      </c>
      <c r="B110">
        <f>3600/B9</f>
        <v>0.18</v>
      </c>
    </row>
    <row r="115" spans="1:11" x14ac:dyDescent="0.3">
      <c r="A115" t="s">
        <v>32</v>
      </c>
      <c r="B115">
        <f>B103*B9</f>
        <v>296666.66666666669</v>
      </c>
    </row>
    <row r="120" spans="1:11" x14ac:dyDescent="0.3">
      <c r="A120" t="s">
        <v>33</v>
      </c>
    </row>
    <row r="123" spans="1:11" ht="14.4" customHeight="1" x14ac:dyDescent="0.3">
      <c r="A123" s="6" t="s">
        <v>35</v>
      </c>
      <c r="B123" s="6"/>
      <c r="C123" s="6"/>
    </row>
    <row r="124" spans="1:11" x14ac:dyDescent="0.3">
      <c r="A124" s="6"/>
      <c r="B124" s="6"/>
      <c r="C124" s="6"/>
      <c r="H124" t="s">
        <v>43</v>
      </c>
      <c r="I124" t="s">
        <v>53</v>
      </c>
      <c r="K124" t="s">
        <v>54</v>
      </c>
    </row>
    <row r="125" spans="1:11" x14ac:dyDescent="0.3">
      <c r="A125" s="6"/>
      <c r="B125" s="6"/>
      <c r="C125" s="6"/>
    </row>
    <row r="126" spans="1:11" x14ac:dyDescent="0.3">
      <c r="H126" t="s">
        <v>44</v>
      </c>
      <c r="I126">
        <v>1.5</v>
      </c>
      <c r="K126">
        <f>B7+(B8/60)</f>
        <v>1.1666666666666667</v>
      </c>
    </row>
    <row r="128" spans="1:11" x14ac:dyDescent="0.3">
      <c r="H128" t="s">
        <v>45</v>
      </c>
      <c r="I128">
        <v>2</v>
      </c>
      <c r="K128" t="s">
        <v>55</v>
      </c>
    </row>
    <row r="130" spans="1:11" x14ac:dyDescent="0.3">
      <c r="E130">
        <f>5.3 *60</f>
        <v>318</v>
      </c>
      <c r="H130" t="s">
        <v>46</v>
      </c>
      <c r="I130">
        <v>0.12</v>
      </c>
      <c r="K130">
        <f>K126*3600</f>
        <v>4200</v>
      </c>
    </row>
    <row r="131" spans="1:11" x14ac:dyDescent="0.3">
      <c r="A131" t="s">
        <v>36</v>
      </c>
      <c r="B131">
        <v>220</v>
      </c>
      <c r="C131" t="s">
        <v>26</v>
      </c>
    </row>
    <row r="132" spans="1:11" x14ac:dyDescent="0.3">
      <c r="H132" t="s">
        <v>47</v>
      </c>
      <c r="I132">
        <v>0.05</v>
      </c>
    </row>
    <row r="134" spans="1:11" x14ac:dyDescent="0.3">
      <c r="H134" t="s">
        <v>48</v>
      </c>
      <c r="I134">
        <v>2</v>
      </c>
    </row>
    <row r="135" spans="1:11" x14ac:dyDescent="0.3">
      <c r="A135" t="s">
        <v>34</v>
      </c>
      <c r="B135">
        <f>(B103-(B131/60))/B103</f>
        <v>0.75280898876404501</v>
      </c>
    </row>
    <row r="136" spans="1:11" x14ac:dyDescent="0.3">
      <c r="H136" t="s">
        <v>49</v>
      </c>
      <c r="I136">
        <v>0.5</v>
      </c>
      <c r="K136" s="5" t="s">
        <v>56</v>
      </c>
    </row>
    <row r="137" spans="1:11" x14ac:dyDescent="0.3">
      <c r="K137" s="5">
        <f>K130+I144</f>
        <v>4387.0860000000002</v>
      </c>
    </row>
    <row r="138" spans="1:11" x14ac:dyDescent="0.3">
      <c r="H138" t="s">
        <v>50</v>
      </c>
      <c r="I138">
        <v>0.41599999999999998</v>
      </c>
    </row>
    <row r="140" spans="1:11" x14ac:dyDescent="0.3">
      <c r="H140" t="s">
        <v>51</v>
      </c>
      <c r="I140">
        <v>0.5</v>
      </c>
    </row>
    <row r="142" spans="1:11" x14ac:dyDescent="0.3">
      <c r="A142" t="s">
        <v>38</v>
      </c>
      <c r="B142">
        <v>3.8999999999999998E-3</v>
      </c>
      <c r="H142" t="s">
        <v>52</v>
      </c>
      <c r="I142">
        <v>180</v>
      </c>
    </row>
    <row r="143" spans="1:11" x14ac:dyDescent="0.3">
      <c r="A143" t="s">
        <v>39</v>
      </c>
      <c r="B143">
        <v>2</v>
      </c>
    </row>
    <row r="144" spans="1:11" x14ac:dyDescent="0.3">
      <c r="A144" t="s">
        <v>37</v>
      </c>
      <c r="B144">
        <f>1-B142</f>
        <v>0.99609999999999999</v>
      </c>
      <c r="I144">
        <f>SUM(I126:I142)</f>
        <v>187.08600000000001</v>
      </c>
    </row>
    <row r="145" spans="1:8" x14ac:dyDescent="0.3">
      <c r="A145" t="s">
        <v>37</v>
      </c>
      <c r="B145">
        <f>1-(B143/100)</f>
        <v>0.98</v>
      </c>
    </row>
    <row r="147" spans="1:8" x14ac:dyDescent="0.3">
      <c r="A147" s="7" t="s">
        <v>42</v>
      </c>
      <c r="B147" s="7"/>
      <c r="C147" s="7"/>
      <c r="D147" s="7"/>
      <c r="E147" s="7"/>
      <c r="F147" s="7"/>
      <c r="G147" s="7"/>
      <c r="H147" s="7"/>
    </row>
    <row r="148" spans="1:8" x14ac:dyDescent="0.3">
      <c r="A148" s="7"/>
      <c r="B148" s="7"/>
      <c r="C148" s="7"/>
      <c r="D148" s="7"/>
      <c r="E148" s="7"/>
      <c r="F148" s="7"/>
      <c r="G148" s="7"/>
      <c r="H148" s="7"/>
    </row>
    <row r="155" spans="1:8" x14ac:dyDescent="0.3">
      <c r="A155" t="s">
        <v>40</v>
      </c>
      <c r="B155">
        <v>0.95</v>
      </c>
    </row>
    <row r="157" spans="1:8" x14ac:dyDescent="0.3">
      <c r="A157" t="s">
        <v>41</v>
      </c>
      <c r="B157">
        <f>B155*B144*B135</f>
        <v>0.71237938202247197</v>
      </c>
    </row>
  </sheetData>
  <mergeCells count="6">
    <mergeCell ref="A123:C125"/>
    <mergeCell ref="A147:H148"/>
    <mergeCell ref="A12:A13"/>
    <mergeCell ref="A78:A80"/>
    <mergeCell ref="A90:A97"/>
    <mergeCell ref="H82:M8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Jeison Diaz</dc:creator>
  <cp:lastModifiedBy>Jeison Diaz</cp:lastModifiedBy>
  <dcterms:created xsi:type="dcterms:W3CDTF">2026-03-19T15:05:08Z</dcterms:created>
  <dcterms:modified xsi:type="dcterms:W3CDTF">2026-03-24T04:41:07Z</dcterms:modified>
</cp:coreProperties>
</file>