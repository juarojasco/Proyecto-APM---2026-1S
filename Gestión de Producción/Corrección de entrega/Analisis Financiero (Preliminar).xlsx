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o\Desktop\"/>
    </mc:Choice>
  </mc:AlternateContent>
  <xr:revisionPtr revIDLastSave="0" documentId="8_{87EE9D1F-51F7-40FA-8A06-12E265836CA0}" xr6:coauthVersionLast="47" xr6:coauthVersionMax="47" xr10:uidLastSave="{00000000-0000-0000-0000-000000000000}"/>
  <bookViews>
    <workbookView xWindow="19080" yWindow="-120" windowWidth="20730" windowHeight="11310" xr2:uid="{34CA9882-19DA-4025-A6B3-A5B193287BD3}"/>
  </bookViews>
  <sheets>
    <sheet name="Adquisiciones" sheetId="1" r:id="rId1"/>
    <sheet name="EX+B" sheetId="2" r:id="rId2"/>
    <sheet name="Fd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4" i="2"/>
  <c r="H3" i="2"/>
  <c r="H7" i="2" s="1"/>
  <c r="C3" i="3" s="1"/>
  <c r="B6" i="2"/>
  <c r="B5" i="2"/>
  <c r="H4" i="2"/>
  <c r="E5" i="2"/>
  <c r="E4" i="2"/>
  <c r="C2" i="1"/>
  <c r="E3" i="2" s="1"/>
  <c r="C4" i="3" l="1"/>
  <c r="E7" i="2"/>
  <c r="B2" i="3" s="1"/>
  <c r="D2" i="3" s="1"/>
  <c r="B7" i="2"/>
  <c r="B3" i="3" s="1"/>
  <c r="B4" i="3" s="1"/>
  <c r="E2" i="3" l="1"/>
  <c r="C5" i="3"/>
  <c r="D3" i="3" l="1"/>
  <c r="C6" i="3"/>
  <c r="E3" i="3" l="1"/>
  <c r="B5" i="3"/>
  <c r="D5" i="3" s="1"/>
  <c r="D4" i="3"/>
  <c r="E4" i="3" s="1"/>
  <c r="C7" i="3"/>
  <c r="E5" i="3" l="1"/>
  <c r="B6" i="3"/>
  <c r="C8" i="3"/>
  <c r="B7" i="3" l="1"/>
  <c r="D6" i="3"/>
  <c r="C9" i="3"/>
  <c r="E6" i="3" l="1"/>
  <c r="B8" i="3"/>
  <c r="D7" i="3"/>
  <c r="E7" i="3" s="1"/>
  <c r="C10" i="3"/>
  <c r="B9" i="3" l="1"/>
  <c r="D8" i="3"/>
  <c r="C11" i="3"/>
  <c r="E8" i="3" l="1"/>
  <c r="B10" i="3"/>
  <c r="D9" i="3"/>
  <c r="C12" i="3"/>
  <c r="E9" i="3" l="1"/>
  <c r="B11" i="3"/>
  <c r="D10" i="3"/>
  <c r="E10" i="3" s="1"/>
  <c r="C13" i="3"/>
  <c r="B12" i="3" l="1"/>
  <c r="D11" i="3"/>
  <c r="E11" i="3" s="1"/>
  <c r="C14" i="3"/>
  <c r="B13" i="3" l="1"/>
  <c r="D12" i="3"/>
  <c r="E12" i="3" s="1"/>
  <c r="C15" i="3"/>
  <c r="B14" i="3" l="1"/>
  <c r="D13" i="3"/>
  <c r="E13" i="3" s="1"/>
  <c r="C16" i="3"/>
  <c r="B15" i="3" l="1"/>
  <c r="D14" i="3"/>
  <c r="E14" i="3" s="1"/>
  <c r="C17" i="3"/>
  <c r="B16" i="3" l="1"/>
  <c r="D15" i="3"/>
  <c r="E15" i="3" s="1"/>
  <c r="C18" i="3"/>
  <c r="B17" i="3" l="1"/>
  <c r="D16" i="3"/>
  <c r="E16" i="3" s="1"/>
  <c r="B28" i="3" s="1"/>
  <c r="C19" i="3"/>
  <c r="B18" i="3" l="1"/>
  <c r="D17" i="3"/>
  <c r="C20" i="3"/>
  <c r="C21" i="3" s="1"/>
  <c r="E17" i="3" l="1"/>
  <c r="B26" i="3" s="1"/>
  <c r="B27" i="3"/>
  <c r="B19" i="3"/>
  <c r="D18" i="3"/>
  <c r="E18" i="3" l="1"/>
  <c r="B20" i="3"/>
  <c r="D19" i="3"/>
  <c r="E19" i="3" s="1"/>
  <c r="D20" i="3" l="1"/>
  <c r="E20" i="3" s="1"/>
  <c r="B21" i="3"/>
  <c r="D21" i="3" s="1"/>
  <c r="B29" i="3" s="1"/>
  <c r="E21" i="3" l="1"/>
</calcChain>
</file>

<file path=xl/sharedStrings.xml><?xml version="1.0" encoding="utf-8"?>
<sst xmlns="http://schemas.openxmlformats.org/spreadsheetml/2006/main" count="38" uniqueCount="33">
  <si>
    <t>https://www.alibaba.com/product-detail/Best-Price-Automatic-Robot-Arm-Palletizer_1601631617072.html?spm=a2700.galleryofferlist.normal_offer.d_title.193f13a0KutoFH&amp;priceId=74ddbed55cf64861a03c5df9930f23ac</t>
  </si>
  <si>
    <t>Máquinas Paletizadoras Automáticas con Brazo Robótico</t>
  </si>
  <si>
    <t xml:space="preserve"> </t>
  </si>
  <si>
    <t>Concepto</t>
  </si>
  <si>
    <t>Costo Estimado</t>
  </si>
  <si>
    <t>Mantenimiento Preventivo</t>
  </si>
  <si>
    <t>Licencias Studio 5000</t>
  </si>
  <si>
    <t>Licencias Plant Simulator</t>
  </si>
  <si>
    <t>Adquisiciones</t>
  </si>
  <si>
    <t>Reducción Operadores de Paletizado</t>
  </si>
  <si>
    <t>Costo del Flujo Eléctrico</t>
  </si>
  <si>
    <t>Aranceles (+10%)</t>
  </si>
  <si>
    <t>Año</t>
  </si>
  <si>
    <t>Reducción Tiempos de Parada</t>
  </si>
  <si>
    <t>Reduccion Tiempos de Set-Up</t>
  </si>
  <si>
    <t>Reducción perdidas de producto por accidentes</t>
  </si>
  <si>
    <t>OPEX (+ CAPEX)</t>
  </si>
  <si>
    <t>Capacitación Personal Existente</t>
  </si>
  <si>
    <t>Instalación de Maquinaria</t>
  </si>
  <si>
    <t>Flujo acumulado</t>
  </si>
  <si>
    <t>Ingresos</t>
  </si>
  <si>
    <t>Flujo neto</t>
  </si>
  <si>
    <t>OPEX</t>
  </si>
  <si>
    <t>CAPEX</t>
  </si>
  <si>
    <t>Beneficios</t>
  </si>
  <si>
    <t>Precio de Mercado + Shipping</t>
  </si>
  <si>
    <t>Enlace del producto</t>
  </si>
  <si>
    <t>Indiadores:</t>
  </si>
  <si>
    <t>Tasa de Mercado</t>
  </si>
  <si>
    <t>ROI</t>
  </si>
  <si>
    <t>TIR</t>
  </si>
  <si>
    <t>Payback</t>
  </si>
  <si>
    <t>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</si>
</sst>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70" formatCode="&quot;$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wrapText="1"/>
    </xf>
    <xf numFmtId="170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170" fontId="2" fillId="0" borderId="1" xfId="0" applyNumberFormat="1" applyFont="1" applyBorder="1"/>
    <xf numFmtId="170" fontId="2" fillId="0" borderId="1" xfId="1" applyNumberFormat="1" applyFont="1" applyBorder="1"/>
    <xf numFmtId="1" fontId="2" fillId="0" borderId="1" xfId="0" applyNumberFormat="1" applyFont="1" applyBorder="1"/>
    <xf numFmtId="8" fontId="2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170" fontId="4" fillId="2" borderId="1" xfId="0" applyNumberFormat="1" applyFont="1" applyFill="1" applyBorder="1" applyAlignment="1">
      <alignment horizontal="center" vertical="center" wrapText="1"/>
    </xf>
    <xf numFmtId="170" fontId="4" fillId="2" borderId="1" xfId="0" applyNumberFormat="1" applyFont="1" applyFill="1" applyBorder="1" applyAlignment="1">
      <alignment horizontal="center"/>
    </xf>
    <xf numFmtId="170" fontId="2" fillId="0" borderId="1" xfId="0" applyNumberFormat="1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/>
    <xf numFmtId="6" fontId="4" fillId="2" borderId="1" xfId="0" applyNumberFormat="1" applyFont="1" applyFill="1" applyBorder="1" applyAlignment="1">
      <alignment horizontal="center" vertical="center"/>
    </xf>
    <xf numFmtId="6" fontId="2" fillId="0" borderId="1" xfId="0" applyNumberFormat="1" applyFont="1" applyBorder="1"/>
    <xf numFmtId="10" fontId="2" fillId="0" borderId="1" xfId="0" applyNumberFormat="1" applyFont="1" applyBorder="1"/>
    <xf numFmtId="2" fontId="2" fillId="0" borderId="1" xfId="0" applyNumberFormat="1" applyFont="1" applyBorder="1"/>
    <xf numFmtId="1" fontId="4" fillId="2" borderId="3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8" fontId="3" fillId="0" borderId="1" xfId="0" applyNumberFormat="1" applyFont="1" applyBorder="1"/>
    <xf numFmtId="170" fontId="3" fillId="0" borderId="1" xfId="0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bg1"/>
                </a:solidFill>
              </a:rPr>
              <a:t>Flujo</a:t>
            </a:r>
            <a:r>
              <a:rPr lang="es-CO" b="1" baseline="0">
                <a:solidFill>
                  <a:schemeClr val="bg1"/>
                </a:solidFill>
              </a:rPr>
              <a:t> de Caja</a:t>
            </a:r>
            <a:endParaRPr lang="es-CO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FdC!$B$1</c:f>
              <c:strCache>
                <c:ptCount val="1"/>
                <c:pt idx="0">
                  <c:v>OPEX (+ CAPEX)</c:v>
                </c:pt>
              </c:strCache>
            </c:strRef>
          </c:tx>
          <c:spPr>
            <a:solidFill>
              <a:srgbClr val="9A0000"/>
            </a:solidFill>
            <a:ln>
              <a:noFill/>
            </a:ln>
            <a:effectLst/>
          </c:spPr>
          <c:invertIfNegative val="0"/>
          <c:val>
            <c:numRef>
              <c:f>FdC!$B$2:$B$21</c:f>
              <c:numCache>
                <c:formatCode>"$"#,##0.00_);[Red]\("$"#,##0.00\)</c:formatCode>
                <c:ptCount val="20"/>
                <c:pt idx="0">
                  <c:v>-278129087</c:v>
                </c:pt>
                <c:pt idx="1">
                  <c:v>-53400000</c:v>
                </c:pt>
                <c:pt idx="2">
                  <c:v>-53400000</c:v>
                </c:pt>
                <c:pt idx="3">
                  <c:v>-53400000</c:v>
                </c:pt>
                <c:pt idx="4">
                  <c:v>-53400000</c:v>
                </c:pt>
                <c:pt idx="5">
                  <c:v>-53400000</c:v>
                </c:pt>
                <c:pt idx="6">
                  <c:v>-53400000</c:v>
                </c:pt>
                <c:pt idx="7">
                  <c:v>-53400000</c:v>
                </c:pt>
                <c:pt idx="8">
                  <c:v>-53400000</c:v>
                </c:pt>
                <c:pt idx="9">
                  <c:v>-53400000</c:v>
                </c:pt>
                <c:pt idx="10">
                  <c:v>-53400000</c:v>
                </c:pt>
                <c:pt idx="11">
                  <c:v>-53400000</c:v>
                </c:pt>
                <c:pt idx="12">
                  <c:v>-53400000</c:v>
                </c:pt>
                <c:pt idx="13">
                  <c:v>-53400000</c:v>
                </c:pt>
                <c:pt idx="14">
                  <c:v>-53400000</c:v>
                </c:pt>
                <c:pt idx="15">
                  <c:v>-53400000</c:v>
                </c:pt>
                <c:pt idx="16">
                  <c:v>-53400000</c:v>
                </c:pt>
                <c:pt idx="17">
                  <c:v>-53400000</c:v>
                </c:pt>
                <c:pt idx="18">
                  <c:v>-53400000</c:v>
                </c:pt>
                <c:pt idx="19">
                  <c:v>-53400000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F7-43CB-B385-1D5A2F2E76DA}"/>
            </c:ext>
          </c:extLst>
        </c:ser>
        <c:ser>
          <c:idx val="2"/>
          <c:order val="2"/>
          <c:tx>
            <c:strRef>
              <c:f>FdC!$C$1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FdC!$C$2:$C$21</c:f>
              <c:numCache>
                <c:formatCode>"$"#,##0_);[Red]\("$"#,##0\)</c:formatCode>
                <c:ptCount val="20"/>
                <c:pt idx="0">
                  <c:v>0</c:v>
                </c:pt>
                <c:pt idx="1">
                  <c:v>73000000</c:v>
                </c:pt>
                <c:pt idx="2">
                  <c:v>73000000</c:v>
                </c:pt>
                <c:pt idx="3">
                  <c:v>73000000</c:v>
                </c:pt>
                <c:pt idx="4">
                  <c:v>73000000</c:v>
                </c:pt>
                <c:pt idx="5">
                  <c:v>73000000</c:v>
                </c:pt>
                <c:pt idx="6">
                  <c:v>73000000</c:v>
                </c:pt>
                <c:pt idx="7">
                  <c:v>73000000</c:v>
                </c:pt>
                <c:pt idx="8">
                  <c:v>73000000</c:v>
                </c:pt>
                <c:pt idx="9">
                  <c:v>73000000</c:v>
                </c:pt>
                <c:pt idx="10">
                  <c:v>73000000</c:v>
                </c:pt>
                <c:pt idx="11">
                  <c:v>73000000</c:v>
                </c:pt>
                <c:pt idx="12">
                  <c:v>73000000</c:v>
                </c:pt>
                <c:pt idx="13">
                  <c:v>73000000</c:v>
                </c:pt>
                <c:pt idx="14">
                  <c:v>73000000</c:v>
                </c:pt>
                <c:pt idx="15">
                  <c:v>73000000</c:v>
                </c:pt>
                <c:pt idx="16">
                  <c:v>73000000</c:v>
                </c:pt>
                <c:pt idx="17">
                  <c:v>73000000</c:v>
                </c:pt>
                <c:pt idx="18">
                  <c:v>73000000</c:v>
                </c:pt>
                <c:pt idx="19">
                  <c:v>73000000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F7-43CB-B385-1D5A2F2E76DA}"/>
            </c:ext>
          </c:extLst>
        </c:ser>
        <c:ser>
          <c:idx val="3"/>
          <c:order val="3"/>
          <c:tx>
            <c:strRef>
              <c:f>FdC!$D$1</c:f>
              <c:strCache>
                <c:ptCount val="1"/>
                <c:pt idx="0">
                  <c:v>Flujo neto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FdC!$D$2:$D$21</c:f>
              <c:numCache>
                <c:formatCode>"$"#,##0_);[Red]\("$"#,##0\)</c:formatCode>
                <c:ptCount val="20"/>
                <c:pt idx="0">
                  <c:v>-278129087</c:v>
                </c:pt>
                <c:pt idx="1">
                  <c:v>19600000</c:v>
                </c:pt>
                <c:pt idx="2">
                  <c:v>19600000</c:v>
                </c:pt>
                <c:pt idx="3">
                  <c:v>19600000</c:v>
                </c:pt>
                <c:pt idx="4">
                  <c:v>19600000</c:v>
                </c:pt>
                <c:pt idx="5">
                  <c:v>19600000</c:v>
                </c:pt>
                <c:pt idx="6">
                  <c:v>19600000</c:v>
                </c:pt>
                <c:pt idx="7">
                  <c:v>19600000</c:v>
                </c:pt>
                <c:pt idx="8">
                  <c:v>19600000</c:v>
                </c:pt>
                <c:pt idx="9">
                  <c:v>19600000</c:v>
                </c:pt>
                <c:pt idx="10">
                  <c:v>19600000</c:v>
                </c:pt>
                <c:pt idx="11">
                  <c:v>19600000</c:v>
                </c:pt>
                <c:pt idx="12">
                  <c:v>19600000</c:v>
                </c:pt>
                <c:pt idx="13">
                  <c:v>19600000</c:v>
                </c:pt>
                <c:pt idx="14">
                  <c:v>19600000</c:v>
                </c:pt>
                <c:pt idx="15">
                  <c:v>19600000</c:v>
                </c:pt>
                <c:pt idx="16">
                  <c:v>19600000</c:v>
                </c:pt>
                <c:pt idx="17">
                  <c:v>19600000</c:v>
                </c:pt>
                <c:pt idx="18">
                  <c:v>19600000</c:v>
                </c:pt>
                <c:pt idx="19">
                  <c:v>19600000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F7-43CB-B385-1D5A2F2E76DA}"/>
            </c:ext>
          </c:extLst>
        </c:ser>
        <c:ser>
          <c:idx val="4"/>
          <c:order val="4"/>
          <c:tx>
            <c:strRef>
              <c:f>FdC!$E$1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FdC!$E$2:$E$21</c:f>
              <c:numCache>
                <c:formatCode>"$"#,##0_);[Red]\("$"#,##0\)</c:formatCode>
                <c:ptCount val="20"/>
                <c:pt idx="0">
                  <c:v>-278129087</c:v>
                </c:pt>
                <c:pt idx="1">
                  <c:v>-258529087</c:v>
                </c:pt>
                <c:pt idx="2">
                  <c:v>-238929087</c:v>
                </c:pt>
                <c:pt idx="3">
                  <c:v>-219329087</c:v>
                </c:pt>
                <c:pt idx="4">
                  <c:v>-199729087</c:v>
                </c:pt>
                <c:pt idx="5">
                  <c:v>-180129087</c:v>
                </c:pt>
                <c:pt idx="6">
                  <c:v>-160529087</c:v>
                </c:pt>
                <c:pt idx="7">
                  <c:v>-140929087</c:v>
                </c:pt>
                <c:pt idx="8">
                  <c:v>-121329087</c:v>
                </c:pt>
                <c:pt idx="9">
                  <c:v>-101729087</c:v>
                </c:pt>
                <c:pt idx="10">
                  <c:v>-82129087</c:v>
                </c:pt>
                <c:pt idx="11">
                  <c:v>-62529087</c:v>
                </c:pt>
                <c:pt idx="12">
                  <c:v>-42929087</c:v>
                </c:pt>
                <c:pt idx="13">
                  <c:v>-23329087</c:v>
                </c:pt>
                <c:pt idx="14">
                  <c:v>-3729087</c:v>
                </c:pt>
                <c:pt idx="15">
                  <c:v>15870913</c:v>
                </c:pt>
                <c:pt idx="16">
                  <c:v>35470913</c:v>
                </c:pt>
                <c:pt idx="17">
                  <c:v>55070913</c:v>
                </c:pt>
                <c:pt idx="18">
                  <c:v>74670913</c:v>
                </c:pt>
                <c:pt idx="19">
                  <c:v>94270913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F7-43CB-B385-1D5A2F2E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8890912"/>
        <c:axId val="918898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FdC!$A$1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FdC!$A$2:$A$21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F7-43CB-B385-1D5A2F2E76DA}"/>
                  </c:ext>
                </c:extLst>
              </c15:ser>
            </c15:filteredBarSeries>
          </c:ext>
        </c:extLst>
      </c:barChart>
      <c:catAx>
        <c:axId val="91889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898592"/>
        <c:crosses val="autoZero"/>
        <c:auto val="1"/>
        <c:lblAlgn val="ctr"/>
        <c:lblOffset val="100"/>
        <c:noMultiLvlLbl val="0"/>
      </c:catAx>
      <c:valAx>
        <c:axId val="9188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89091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431345</xdr:colOff>
      <xdr:row>0</xdr:row>
      <xdr:rowOff>90487</xdr:rowOff>
    </xdr:from>
    <xdr:to>
      <xdr:col>13</xdr:col>
      <xdr:colOff>148943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DC591D-F660-241E-5976-328A18A6B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6771-BBF1-4BDA-AE97-3F55ED6FC1BC}">
  <dimension ref="A1:D6"/>
  <sheetViews>
    <sheetView tabSelected="1" zoomScale="95" zoomScaleNormal="95" workbookViewId="0">
      <selection activeCell="D11" sqref="D11"/>
    </sheetView>
  </sheetViews>
  <sheetFormatPr baseColWidth="10" defaultRowHeight="15" x14ac:dyDescent="0.25"/>
  <cols>
    <col min="1" max="1" width="52.7109375" style="1" customWidth="1"/>
    <col min="2" max="3" width="18.5703125" style="2" customWidth="1"/>
    <col min="4" max="4" width="231.85546875" style="3" customWidth="1"/>
    <col min="5" max="16384" width="11.42578125" style="1"/>
  </cols>
  <sheetData>
    <row r="1" spans="1:4" s="8" customFormat="1" ht="36" customHeight="1" x14ac:dyDescent="0.25">
      <c r="A1" s="8" t="s">
        <v>3</v>
      </c>
      <c r="B1" s="9" t="s">
        <v>25</v>
      </c>
      <c r="C1" s="9" t="s">
        <v>11</v>
      </c>
      <c r="D1" s="8" t="s">
        <v>26</v>
      </c>
    </row>
    <row r="2" spans="1:4" x14ac:dyDescent="0.25">
      <c r="A2" s="1" t="s">
        <v>1</v>
      </c>
      <c r="B2" s="2">
        <f>188299170+50000000</f>
        <v>238299170</v>
      </c>
      <c r="C2" s="22">
        <f t="shared" ref="C2" si="0">B2*1.1</f>
        <v>262129087.00000003</v>
      </c>
      <c r="D2" s="3" t="s">
        <v>0</v>
      </c>
    </row>
    <row r="3" spans="1:4" x14ac:dyDescent="0.25">
      <c r="C3" s="1"/>
    </row>
    <row r="4" spans="1:4" ht="14.25" customHeight="1" x14ac:dyDescent="0.25">
      <c r="D4" s="3" t="s">
        <v>2</v>
      </c>
    </row>
    <row r="6" spans="1:4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E273-002F-44CB-B87B-B9FBB131734B}">
  <dimension ref="A1:H7"/>
  <sheetViews>
    <sheetView workbookViewId="0">
      <selection activeCell="D10" sqref="D10"/>
    </sheetView>
  </sheetViews>
  <sheetFormatPr baseColWidth="10" defaultRowHeight="15" x14ac:dyDescent="0.25"/>
  <cols>
    <col min="1" max="1" width="26.140625" style="4" customWidth="1"/>
    <col min="2" max="2" width="14.42578125" style="5" customWidth="1"/>
    <col min="3" max="3" width="12" style="4" customWidth="1"/>
    <col min="4" max="4" width="30.28515625" style="4" customWidth="1"/>
    <col min="5" max="5" width="14.85546875" style="4" customWidth="1"/>
    <col min="6" max="6" width="11.42578125" style="4"/>
    <col min="7" max="7" width="45.140625" style="4" customWidth="1"/>
    <col min="8" max="8" width="15" style="4" customWidth="1"/>
    <col min="9" max="16384" width="11.42578125" style="4"/>
  </cols>
  <sheetData>
    <row r="1" spans="1:8" x14ac:dyDescent="0.25">
      <c r="A1" s="10" t="s">
        <v>22</v>
      </c>
      <c r="B1" s="10"/>
      <c r="D1" s="10" t="s">
        <v>23</v>
      </c>
      <c r="E1" s="10"/>
      <c r="G1" s="10" t="s">
        <v>24</v>
      </c>
      <c r="H1" s="10"/>
    </row>
    <row r="2" spans="1:8" x14ac:dyDescent="0.25">
      <c r="A2" s="4" t="s">
        <v>3</v>
      </c>
      <c r="B2" s="5" t="s">
        <v>4</v>
      </c>
      <c r="D2" s="4" t="s">
        <v>3</v>
      </c>
      <c r="E2" s="5" t="s">
        <v>4</v>
      </c>
      <c r="G2" s="4" t="s">
        <v>3</v>
      </c>
      <c r="H2" s="5" t="s">
        <v>4</v>
      </c>
    </row>
    <row r="3" spans="1:8" x14ac:dyDescent="0.25">
      <c r="A3" s="4" t="s">
        <v>5</v>
      </c>
      <c r="B3" s="5">
        <v>5000000</v>
      </c>
      <c r="D3" s="4" t="s">
        <v>8</v>
      </c>
      <c r="E3" s="4">
        <f>Adquisiciones!C2</f>
        <v>262129087.00000003</v>
      </c>
      <c r="G3" s="4" t="s">
        <v>9</v>
      </c>
      <c r="H3" s="4">
        <f>2000000*12*2</f>
        <v>48000000</v>
      </c>
    </row>
    <row r="4" spans="1:8" x14ac:dyDescent="0.25">
      <c r="A4" s="4" t="s">
        <v>10</v>
      </c>
      <c r="B4" s="5">
        <f>(9)*16*750*300</f>
        <v>32400000</v>
      </c>
      <c r="D4" s="4" t="s">
        <v>17</v>
      </c>
      <c r="E4" s="4">
        <f>3000000*2</f>
        <v>6000000</v>
      </c>
      <c r="G4" s="4" t="s">
        <v>13</v>
      </c>
      <c r="H4" s="4">
        <f>5000000</f>
        <v>5000000</v>
      </c>
    </row>
    <row r="5" spans="1:8" x14ac:dyDescent="0.25">
      <c r="A5" s="4" t="s">
        <v>6</v>
      </c>
      <c r="B5" s="5">
        <f>2500*4000</f>
        <v>10000000</v>
      </c>
      <c r="D5" s="4" t="s">
        <v>18</v>
      </c>
      <c r="E5" s="4">
        <f>10000000*1</f>
        <v>10000000</v>
      </c>
      <c r="G5" s="4" t="s">
        <v>14</v>
      </c>
      <c r="H5" s="4">
        <v>5000000</v>
      </c>
    </row>
    <row r="6" spans="1:8" x14ac:dyDescent="0.25">
      <c r="A6" s="4" t="s">
        <v>7</v>
      </c>
      <c r="B6" s="5">
        <f>1500*4000</f>
        <v>6000000</v>
      </c>
      <c r="G6" s="4" t="s">
        <v>15</v>
      </c>
      <c r="H6" s="4">
        <v>15000000</v>
      </c>
    </row>
    <row r="7" spans="1:8" x14ac:dyDescent="0.25">
      <c r="B7" s="5">
        <f>SUM(B3:B6)</f>
        <v>53400000</v>
      </c>
      <c r="E7" s="4">
        <f>SUM(E3:E6)</f>
        <v>278129087</v>
      </c>
      <c r="H7" s="4">
        <f xml:space="preserve"> SUM(H3:H6)</f>
        <v>73000000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D7C4-7C36-405F-988D-68A540A30D5D}">
  <dimension ref="A1:E29"/>
  <sheetViews>
    <sheetView zoomScale="77" zoomScaleNormal="77" workbookViewId="0">
      <selection activeCell="F31" sqref="F31"/>
    </sheetView>
  </sheetViews>
  <sheetFormatPr baseColWidth="10" defaultRowHeight="15" x14ac:dyDescent="0.25"/>
  <cols>
    <col min="1" max="1" width="17" style="6" customWidth="1"/>
    <col min="2" max="2" width="17.85546875" style="7" customWidth="1"/>
    <col min="3" max="3" width="17.7109375" style="16" customWidth="1"/>
    <col min="4" max="4" width="17.42578125" style="16" customWidth="1"/>
    <col min="5" max="5" width="16.28515625" style="16" customWidth="1"/>
    <col min="6" max="16384" width="11.42578125" style="4"/>
  </cols>
  <sheetData>
    <row r="1" spans="1:5" s="11" customFormat="1" x14ac:dyDescent="0.25">
      <c r="A1" s="12" t="s">
        <v>12</v>
      </c>
      <c r="B1" s="13" t="s">
        <v>16</v>
      </c>
      <c r="C1" s="15" t="s">
        <v>20</v>
      </c>
      <c r="D1" s="15" t="s">
        <v>21</v>
      </c>
      <c r="E1" s="15" t="s">
        <v>19</v>
      </c>
    </row>
    <row r="2" spans="1:5" x14ac:dyDescent="0.25">
      <c r="A2" s="14">
        <v>1</v>
      </c>
      <c r="B2" s="7">
        <f>'EX+B'!E7*-1</f>
        <v>-278129087</v>
      </c>
      <c r="C2" s="16">
        <v>0</v>
      </c>
      <c r="D2" s="16">
        <f>SUM(B2:C2)</f>
        <v>-278129087</v>
      </c>
      <c r="E2" s="16">
        <f>D2</f>
        <v>-278129087</v>
      </c>
    </row>
    <row r="3" spans="1:5" x14ac:dyDescent="0.25">
      <c r="A3" s="14">
        <v>2</v>
      </c>
      <c r="B3" s="7">
        <f>'EX+B'!B7*-1</f>
        <v>-53400000</v>
      </c>
      <c r="C3" s="16">
        <f>'EX+B'!H7</f>
        <v>73000000</v>
      </c>
      <c r="D3" s="16">
        <f>SUM(B3:C3)</f>
        <v>19600000</v>
      </c>
      <c r="E3" s="16">
        <f>E2+D3</f>
        <v>-258529087</v>
      </c>
    </row>
    <row r="4" spans="1:5" x14ac:dyDescent="0.25">
      <c r="A4" s="14">
        <v>3</v>
      </c>
      <c r="B4" s="7">
        <f>B3</f>
        <v>-53400000</v>
      </c>
      <c r="C4" s="16">
        <f>C3</f>
        <v>73000000</v>
      </c>
      <c r="D4" s="16">
        <f>SUM(B4:C4)</f>
        <v>19600000</v>
      </c>
      <c r="E4" s="16">
        <f t="shared" ref="E4:E21" si="0">E3+D4</f>
        <v>-238929087</v>
      </c>
    </row>
    <row r="5" spans="1:5" x14ac:dyDescent="0.25">
      <c r="A5" s="14">
        <v>4</v>
      </c>
      <c r="B5" s="7">
        <f t="shared" ref="B4:B20" si="1">B4</f>
        <v>-53400000</v>
      </c>
      <c r="C5" s="16">
        <f t="shared" ref="C5:C21" si="2">C4</f>
        <v>73000000</v>
      </c>
      <c r="D5" s="16">
        <f>SUM(B5:C5)</f>
        <v>19600000</v>
      </c>
      <c r="E5" s="16">
        <f t="shared" si="0"/>
        <v>-219329087</v>
      </c>
    </row>
    <row r="6" spans="1:5" x14ac:dyDescent="0.25">
      <c r="A6" s="14">
        <v>5</v>
      </c>
      <c r="B6" s="7">
        <f t="shared" si="1"/>
        <v>-53400000</v>
      </c>
      <c r="C6" s="16">
        <f t="shared" si="2"/>
        <v>73000000</v>
      </c>
      <c r="D6" s="16">
        <f>SUM(B6:C6)</f>
        <v>19600000</v>
      </c>
      <c r="E6" s="16">
        <f t="shared" si="0"/>
        <v>-199729087</v>
      </c>
    </row>
    <row r="7" spans="1:5" x14ac:dyDescent="0.25">
      <c r="A7" s="14">
        <v>6</v>
      </c>
      <c r="B7" s="7">
        <f t="shared" si="1"/>
        <v>-53400000</v>
      </c>
      <c r="C7" s="16">
        <f t="shared" si="2"/>
        <v>73000000</v>
      </c>
      <c r="D7" s="16">
        <f>SUM(B7:C7)</f>
        <v>19600000</v>
      </c>
      <c r="E7" s="16">
        <f t="shared" si="0"/>
        <v>-180129087</v>
      </c>
    </row>
    <row r="8" spans="1:5" x14ac:dyDescent="0.25">
      <c r="A8" s="14">
        <v>7</v>
      </c>
      <c r="B8" s="7">
        <f t="shared" si="1"/>
        <v>-53400000</v>
      </c>
      <c r="C8" s="16">
        <f t="shared" si="2"/>
        <v>73000000</v>
      </c>
      <c r="D8" s="16">
        <f>SUM(B8:C8)</f>
        <v>19600000</v>
      </c>
      <c r="E8" s="16">
        <f t="shared" si="0"/>
        <v>-160529087</v>
      </c>
    </row>
    <row r="9" spans="1:5" x14ac:dyDescent="0.25">
      <c r="A9" s="14">
        <v>8</v>
      </c>
      <c r="B9" s="7">
        <f t="shared" si="1"/>
        <v>-53400000</v>
      </c>
      <c r="C9" s="16">
        <f t="shared" si="2"/>
        <v>73000000</v>
      </c>
      <c r="D9" s="16">
        <f>SUM(B9:C9)</f>
        <v>19600000</v>
      </c>
      <c r="E9" s="16">
        <f t="shared" si="0"/>
        <v>-140929087</v>
      </c>
    </row>
    <row r="10" spans="1:5" x14ac:dyDescent="0.25">
      <c r="A10" s="14">
        <v>9</v>
      </c>
      <c r="B10" s="7">
        <f t="shared" si="1"/>
        <v>-53400000</v>
      </c>
      <c r="C10" s="16">
        <f t="shared" si="2"/>
        <v>73000000</v>
      </c>
      <c r="D10" s="16">
        <f>SUM(B10:C10)</f>
        <v>19600000</v>
      </c>
      <c r="E10" s="16">
        <f t="shared" si="0"/>
        <v>-121329087</v>
      </c>
    </row>
    <row r="11" spans="1:5" x14ac:dyDescent="0.25">
      <c r="A11" s="14">
        <v>10</v>
      </c>
      <c r="B11" s="7">
        <f t="shared" si="1"/>
        <v>-53400000</v>
      </c>
      <c r="C11" s="16">
        <f t="shared" si="2"/>
        <v>73000000</v>
      </c>
      <c r="D11" s="16">
        <f>SUM(B11:C11)</f>
        <v>19600000</v>
      </c>
      <c r="E11" s="16">
        <f t="shared" si="0"/>
        <v>-101729087</v>
      </c>
    </row>
    <row r="12" spans="1:5" x14ac:dyDescent="0.25">
      <c r="A12" s="14">
        <v>11</v>
      </c>
      <c r="B12" s="7">
        <f t="shared" si="1"/>
        <v>-53400000</v>
      </c>
      <c r="C12" s="16">
        <f t="shared" si="2"/>
        <v>73000000</v>
      </c>
      <c r="D12" s="16">
        <f>SUM(B12:C12)</f>
        <v>19600000</v>
      </c>
      <c r="E12" s="16">
        <f t="shared" si="0"/>
        <v>-82129087</v>
      </c>
    </row>
    <row r="13" spans="1:5" x14ac:dyDescent="0.25">
      <c r="A13" s="14">
        <v>12</v>
      </c>
      <c r="B13" s="7">
        <f t="shared" si="1"/>
        <v>-53400000</v>
      </c>
      <c r="C13" s="16">
        <f t="shared" si="2"/>
        <v>73000000</v>
      </c>
      <c r="D13" s="16">
        <f>SUM(B13:C13)</f>
        <v>19600000</v>
      </c>
      <c r="E13" s="16">
        <f t="shared" si="0"/>
        <v>-62529087</v>
      </c>
    </row>
    <row r="14" spans="1:5" x14ac:dyDescent="0.25">
      <c r="A14" s="14">
        <v>13</v>
      </c>
      <c r="B14" s="7">
        <f t="shared" si="1"/>
        <v>-53400000</v>
      </c>
      <c r="C14" s="16">
        <f t="shared" si="2"/>
        <v>73000000</v>
      </c>
      <c r="D14" s="16">
        <f>SUM(B14:C14)</f>
        <v>19600000</v>
      </c>
      <c r="E14" s="16">
        <f t="shared" si="0"/>
        <v>-42929087</v>
      </c>
    </row>
    <row r="15" spans="1:5" x14ac:dyDescent="0.25">
      <c r="A15" s="14">
        <v>14</v>
      </c>
      <c r="B15" s="7">
        <f t="shared" si="1"/>
        <v>-53400000</v>
      </c>
      <c r="C15" s="16">
        <f t="shared" si="2"/>
        <v>73000000</v>
      </c>
      <c r="D15" s="16">
        <f>SUM(B15:C15)</f>
        <v>19600000</v>
      </c>
      <c r="E15" s="16">
        <f t="shared" si="0"/>
        <v>-23329087</v>
      </c>
    </row>
    <row r="16" spans="1:5" x14ac:dyDescent="0.25">
      <c r="A16" s="14">
        <v>15</v>
      </c>
      <c r="B16" s="7">
        <f t="shared" si="1"/>
        <v>-53400000</v>
      </c>
      <c r="C16" s="16">
        <f t="shared" si="2"/>
        <v>73000000</v>
      </c>
      <c r="D16" s="16">
        <f>SUM(B16:C16)</f>
        <v>19600000</v>
      </c>
      <c r="E16" s="16">
        <f t="shared" si="0"/>
        <v>-3729087</v>
      </c>
    </row>
    <row r="17" spans="1:5" x14ac:dyDescent="0.25">
      <c r="A17" s="14">
        <v>16</v>
      </c>
      <c r="B17" s="7">
        <f t="shared" si="1"/>
        <v>-53400000</v>
      </c>
      <c r="C17" s="16">
        <f t="shared" si="2"/>
        <v>73000000</v>
      </c>
      <c r="D17" s="16">
        <f>SUM(B17:C17)</f>
        <v>19600000</v>
      </c>
      <c r="E17" s="16">
        <f t="shared" si="0"/>
        <v>15870913</v>
      </c>
    </row>
    <row r="18" spans="1:5" x14ac:dyDescent="0.25">
      <c r="A18" s="14">
        <v>17</v>
      </c>
      <c r="B18" s="7">
        <f t="shared" si="1"/>
        <v>-53400000</v>
      </c>
      <c r="C18" s="16">
        <f t="shared" si="2"/>
        <v>73000000</v>
      </c>
      <c r="D18" s="16">
        <f>SUM(B18:C18)</f>
        <v>19600000</v>
      </c>
      <c r="E18" s="16">
        <f t="shared" si="0"/>
        <v>35470913</v>
      </c>
    </row>
    <row r="19" spans="1:5" x14ac:dyDescent="0.25">
      <c r="A19" s="14">
        <v>18</v>
      </c>
      <c r="B19" s="7">
        <f t="shared" si="1"/>
        <v>-53400000</v>
      </c>
      <c r="C19" s="16">
        <f t="shared" si="2"/>
        <v>73000000</v>
      </c>
      <c r="D19" s="16">
        <f>SUM(B19:C19)</f>
        <v>19600000</v>
      </c>
      <c r="E19" s="16">
        <f t="shared" si="0"/>
        <v>55070913</v>
      </c>
    </row>
    <row r="20" spans="1:5" x14ac:dyDescent="0.25">
      <c r="A20" s="14">
        <v>19</v>
      </c>
      <c r="B20" s="7">
        <f>B19</f>
        <v>-53400000</v>
      </c>
      <c r="C20" s="16">
        <f t="shared" si="2"/>
        <v>73000000</v>
      </c>
      <c r="D20" s="16">
        <f>SUM(B20:C20)</f>
        <v>19600000</v>
      </c>
      <c r="E20" s="16">
        <f t="shared" si="0"/>
        <v>74670913</v>
      </c>
    </row>
    <row r="21" spans="1:5" x14ac:dyDescent="0.25">
      <c r="A21" s="14">
        <v>19</v>
      </c>
      <c r="B21" s="7">
        <f>B20</f>
        <v>-53400000</v>
      </c>
      <c r="C21" s="16">
        <f t="shared" si="2"/>
        <v>73000000</v>
      </c>
      <c r="D21" s="16">
        <f>SUM(B21:C21)</f>
        <v>19600000</v>
      </c>
      <c r="E21" s="16">
        <f t="shared" si="0"/>
        <v>94270913</v>
      </c>
    </row>
    <row r="24" spans="1:5" x14ac:dyDescent="0.25">
      <c r="A24" s="19" t="s">
        <v>27</v>
      </c>
      <c r="B24" s="20"/>
    </row>
    <row r="25" spans="1:5" x14ac:dyDescent="0.25">
      <c r="A25" s="14" t="s">
        <v>28</v>
      </c>
      <c r="B25" s="17">
        <v>0.10249999999999999</v>
      </c>
    </row>
    <row r="26" spans="1:5" x14ac:dyDescent="0.25">
      <c r="A26" s="14" t="s">
        <v>29</v>
      </c>
      <c r="B26" s="17">
        <f>-E17/D2</f>
        <v>5.7063118321026236E-2</v>
      </c>
    </row>
    <row r="27" spans="1:5" x14ac:dyDescent="0.25">
      <c r="A27" s="14" t="s">
        <v>30</v>
      </c>
      <c r="B27" s="17">
        <f>IRR(D2:D17)</f>
        <v>7.0183778708419187E-3</v>
      </c>
    </row>
    <row r="28" spans="1:5" x14ac:dyDescent="0.25">
      <c r="A28" s="14" t="s">
        <v>31</v>
      </c>
      <c r="B28" s="18">
        <f>A16+(-E16/D16)</f>
        <v>15.190259540816326</v>
      </c>
    </row>
    <row r="29" spans="1:5" x14ac:dyDescent="0.25">
      <c r="A29" s="14" t="s">
        <v>32</v>
      </c>
      <c r="B29" s="21">
        <f>NPV(B25,D3:D21)+D2</f>
        <v>-116855576.25684595</v>
      </c>
    </row>
  </sheetData>
  <mergeCells count="1">
    <mergeCell ref="A24:B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Adquisiciones</vt:lpstr>
      <vt:lpstr>EX+B</vt:lpstr>
      <vt:lpstr>FdC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Parrado</dc:creator>
  <cp:lastModifiedBy>Miguel Parrado</cp:lastModifiedBy>
  <dcterms:created xsi:type="dcterms:W3CDTF">2026-03-21T22:43:04Z</dcterms:created>
  <dcterms:modified xsi:type="dcterms:W3CDTF">2026-03-22T03:19:23Z</dcterms:modified>
</cp:coreProperties>
</file>