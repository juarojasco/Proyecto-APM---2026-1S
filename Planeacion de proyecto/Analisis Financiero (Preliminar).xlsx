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to\Desktop\"/>
    </mc:Choice>
  </mc:AlternateContent>
  <xr:revisionPtr revIDLastSave="0" documentId="13_ncr:1_{F7F7D1D3-71C3-4671-8B2C-CE82F1C2EC3F}" xr6:coauthVersionLast="47" xr6:coauthVersionMax="47" xr10:uidLastSave="{00000000-0000-0000-0000-000000000000}"/>
  <bookViews>
    <workbookView xWindow="19080" yWindow="-120" windowWidth="20730" windowHeight="11310" activeTab="1" xr2:uid="{34CA9882-19DA-4025-A6B3-A5B193287BD3}"/>
  </bookViews>
  <sheets>
    <sheet name="Adquisiciones" sheetId="1" r:id="rId1"/>
    <sheet name="EX+B" sheetId="2" r:id="rId2"/>
    <sheet name="FdC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2" l="1"/>
  <c r="H4" i="2"/>
  <c r="H5" i="2"/>
  <c r="B4" i="2"/>
  <c r="H15" i="2"/>
  <c r="H16" i="2" s="1"/>
  <c r="H6" i="2" s="1"/>
  <c r="H3" i="2"/>
  <c r="B2" i="1"/>
  <c r="E4" i="2"/>
  <c r="E19" i="2"/>
  <c r="E18" i="2"/>
  <c r="E16" i="2"/>
  <c r="E17" i="2"/>
  <c r="E21" i="2" s="1"/>
  <c r="E6" i="2" s="1"/>
  <c r="B5" i="2"/>
  <c r="B7" i="2"/>
  <c r="H11" i="2" l="1"/>
  <c r="E5" i="2"/>
  <c r="B6" i="2"/>
  <c r="C2" i="1"/>
  <c r="E3" i="2" s="1"/>
  <c r="E11" i="2" l="1"/>
  <c r="B2" i="3" s="1"/>
  <c r="D2" i="3" s="1"/>
  <c r="B11" i="2"/>
  <c r="B3" i="3" s="1"/>
  <c r="B4" i="3" l="1"/>
  <c r="E2" i="3"/>
  <c r="B5" i="3" l="1"/>
  <c r="B6" i="3" l="1"/>
  <c r="B7" i="3" l="1"/>
  <c r="B8" i="3" l="1"/>
  <c r="B9" i="3" l="1"/>
  <c r="B10" i="3" l="1"/>
  <c r="B11" i="3" l="1"/>
  <c r="B12" i="3" l="1"/>
  <c r="B13" i="3" l="1"/>
  <c r="B14" i="3" l="1"/>
  <c r="B15" i="3" l="1"/>
  <c r="B16" i="3" l="1"/>
  <c r="B17" i="3" l="1"/>
  <c r="B18" i="3" l="1"/>
  <c r="B19" i="3" l="1"/>
  <c r="B20" i="3" l="1"/>
  <c r="B21" i="3" l="1"/>
  <c r="C3" i="3"/>
  <c r="D3" i="3" s="1"/>
  <c r="E3" i="3" s="1"/>
  <c r="C4" i="3" l="1"/>
  <c r="D4" i="3" l="1"/>
  <c r="E4" i="3" s="1"/>
  <c r="C5" i="3"/>
  <c r="C6" i="3" l="1"/>
  <c r="D5" i="3"/>
  <c r="E5" i="3" s="1"/>
  <c r="D6" i="3" l="1"/>
  <c r="E6" i="3" s="1"/>
  <c r="C7" i="3"/>
  <c r="D7" i="3" l="1"/>
  <c r="E7" i="3" s="1"/>
  <c r="C8" i="3"/>
  <c r="C9" i="3" l="1"/>
  <c r="D8" i="3"/>
  <c r="E8" i="3" s="1"/>
  <c r="C10" i="3" l="1"/>
  <c r="D9" i="3"/>
  <c r="E9" i="3" s="1"/>
  <c r="D10" i="3" l="1"/>
  <c r="E10" i="3" s="1"/>
  <c r="C11" i="3"/>
  <c r="D11" i="3" l="1"/>
  <c r="E11" i="3" s="1"/>
  <c r="C12" i="3"/>
  <c r="B28" i="3"/>
  <c r="D12" i="3" l="1"/>
  <c r="E12" i="3" s="1"/>
  <c r="C13" i="3"/>
  <c r="C14" i="3" l="1"/>
  <c r="D13" i="3"/>
  <c r="E13" i="3" s="1"/>
  <c r="D14" i="3" l="1"/>
  <c r="E14" i="3" s="1"/>
  <c r="C15" i="3"/>
  <c r="C16" i="3" l="1"/>
  <c r="D15" i="3"/>
  <c r="E15" i="3" s="1"/>
  <c r="D16" i="3" l="1"/>
  <c r="E16" i="3" s="1"/>
  <c r="C17" i="3"/>
  <c r="C18" i="3" l="1"/>
  <c r="D17" i="3"/>
  <c r="B27" i="3" s="1"/>
  <c r="E17" i="3" l="1"/>
  <c r="D18" i="3"/>
  <c r="E18" i="3" s="1"/>
  <c r="C19" i="3"/>
  <c r="D19" i="3" l="1"/>
  <c r="E19" i="3" s="1"/>
  <c r="C20" i="3"/>
  <c r="D20" i="3" l="1"/>
  <c r="E20" i="3" s="1"/>
  <c r="C21" i="3"/>
  <c r="D21" i="3" s="1"/>
  <c r="B29" i="3" s="1"/>
  <c r="B26" i="3" s="1"/>
  <c r="E21" i="3" l="1"/>
</calcChain>
</file>

<file path=xl/sharedStrings.xml><?xml version="1.0" encoding="utf-8"?>
<sst xmlns="http://schemas.openxmlformats.org/spreadsheetml/2006/main" count="87" uniqueCount="56">
  <si>
    <t>https://www.alibaba.com/product-detail/Best-Price-Automatic-Robot-Arm-Palletizer_1601631617072.html?spm=a2700.galleryofferlist.normal_offer.d_title.193f13a0KutoFH&amp;priceId=74ddbed55cf64861a03c5df9930f23ac</t>
  </si>
  <si>
    <t>Máquinas Paletizadoras Automáticas con Brazo Robótico</t>
  </si>
  <si>
    <t xml:space="preserve"> </t>
  </si>
  <si>
    <t>Concepto</t>
  </si>
  <si>
    <t>Costo Estimado</t>
  </si>
  <si>
    <t>Mantenimiento Preventivo</t>
  </si>
  <si>
    <t>Licencias Studio 5000</t>
  </si>
  <si>
    <t>Adquisiciones</t>
  </si>
  <si>
    <t>Reducción Operadores de Paletizado</t>
  </si>
  <si>
    <t>Costo del Flujo Eléctrico</t>
  </si>
  <si>
    <t>Aranceles (+10%)</t>
  </si>
  <si>
    <t>Año</t>
  </si>
  <si>
    <t>Reducción Tiempos de Parada</t>
  </si>
  <si>
    <t>Reduccion Tiempos de Set-Up</t>
  </si>
  <si>
    <t>Reducción perdidas de producto por accidentes</t>
  </si>
  <si>
    <t>OPEX (+ CAPEX)</t>
  </si>
  <si>
    <t>Capacitación Personal Existente</t>
  </si>
  <si>
    <t>Instalación de Maquinaria</t>
  </si>
  <si>
    <t>Flujo acumulado</t>
  </si>
  <si>
    <t>Ingresos</t>
  </si>
  <si>
    <t>Flujo neto</t>
  </si>
  <si>
    <t>OPEX</t>
  </si>
  <si>
    <t>CAPEX</t>
  </si>
  <si>
    <t>Beneficios</t>
  </si>
  <si>
    <t>Precio de Mercado + Shipping</t>
  </si>
  <si>
    <t>Enlace del producto</t>
  </si>
  <si>
    <t>Indiadores:</t>
  </si>
  <si>
    <t>Tasa de Mercado</t>
  </si>
  <si>
    <t>ROI</t>
  </si>
  <si>
    <t>TIR</t>
  </si>
  <si>
    <t>Payback</t>
  </si>
  <si>
    <t>VPN</t>
  </si>
  <si>
    <t>Licencias Plant Simulation</t>
  </si>
  <si>
    <t>.</t>
  </si>
  <si>
    <t>Salario del Equipo</t>
  </si>
  <si>
    <t>https://costbrief.com/industrial-robot-costs-pricing/</t>
  </si>
  <si>
    <t>https://www.rockwellautomation.com/en-pl/support/workforce-development-training/training-calendar.html</t>
  </si>
  <si>
    <t>https://www.paxiom.com/blogs/robotic-palletizing/ https://co.computrabajo.com/salarios/empacador</t>
  </si>
  <si>
    <t>Licencias SiemensNX</t>
  </si>
  <si>
    <t>https://openit.com/es/siemens-nx-reinvents-to-cater-to-aec-industrys-needs/</t>
  </si>
  <si>
    <t>https://industrialmonitordirect.com/es/blogs/knowledgebase/studio-5000-license-cost-pricing-tiers-for-controllogix</t>
  </si>
  <si>
    <t>SALARIO</t>
  </si>
  <si>
    <t>Salario Base</t>
  </si>
  <si>
    <t>ARL</t>
  </si>
  <si>
    <t>Pensión</t>
  </si>
  <si>
    <t>Salud</t>
  </si>
  <si>
    <t>Caja de compensación</t>
  </si>
  <si>
    <t>https://corporativo.compensar.com/afiliaciones/calculadora-aportes</t>
  </si>
  <si>
    <t>Documentación</t>
  </si>
  <si>
    <t>https://www.mxwholesale.co.uk/products/pallet-deal-504-x-coca-cola-original-bottles-1-5l-eu-6pk</t>
  </si>
  <si>
    <t>PERDIDAS</t>
  </si>
  <si>
    <t>Precio por Palet</t>
  </si>
  <si>
    <t>Incidentes de Caida de Pallet Anual</t>
  </si>
  <si>
    <t>https://pascosystems.com/resources/cost-savings-of-palletizing/</t>
  </si>
  <si>
    <t>Aumentos por productividad</t>
  </si>
  <si>
    <t>https://investors.coca-colafemsa.com/assets/files/reportes_resultados_esp/2020/190321-kof-estados-financieros-2020-final.pdf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</si>
</sst>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&quot;$&quot;\ 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0"/>
      <name val="Aptos Narrow"/>
      <family val="2"/>
    </font>
    <font>
      <u/>
      <sz val="11"/>
      <color theme="10"/>
      <name val="Calibri"/>
      <family val="2"/>
      <scheme val="minor"/>
    </font>
    <font>
      <sz val="1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9A000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1" xfId="0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0" fontId="2" fillId="0" borderId="1" xfId="0" applyFont="1" applyBorder="1"/>
    <xf numFmtId="164" fontId="2" fillId="0" borderId="1" xfId="0" applyNumberFormat="1" applyFont="1" applyBorder="1"/>
    <xf numFmtId="164" fontId="2" fillId="0" borderId="1" xfId="1" applyNumberFormat="1" applyFont="1" applyBorder="1"/>
    <xf numFmtId="1" fontId="2" fillId="0" borderId="1" xfId="0" applyNumberFormat="1" applyFont="1" applyBorder="1"/>
    <xf numFmtId="8" fontId="2" fillId="0" borderId="1" xfId="0" applyNumberFormat="1" applyFont="1" applyBorder="1"/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8" fontId="4" fillId="2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/>
    <xf numFmtId="6" fontId="4" fillId="2" borderId="1" xfId="0" applyNumberFormat="1" applyFont="1" applyFill="1" applyBorder="1" applyAlignment="1">
      <alignment horizontal="center" vertical="center"/>
    </xf>
    <xf numFmtId="6" fontId="2" fillId="0" borderId="1" xfId="0" applyNumberFormat="1" applyFont="1" applyBorder="1"/>
    <xf numFmtId="10" fontId="2" fillId="0" borderId="1" xfId="0" applyNumberFormat="1" applyFont="1" applyBorder="1"/>
    <xf numFmtId="2" fontId="2" fillId="0" borderId="1" xfId="0" applyNumberFormat="1" applyFont="1" applyBorder="1"/>
    <xf numFmtId="164" fontId="3" fillId="0" borderId="1" xfId="0" applyNumberFormat="1" applyFont="1" applyBorder="1" applyAlignment="1">
      <alignment wrapText="1"/>
    </xf>
    <xf numFmtId="164" fontId="5" fillId="0" borderId="1" xfId="2" applyNumberFormat="1" applyBorder="1"/>
    <xf numFmtId="6" fontId="3" fillId="0" borderId="1" xfId="0" applyNumberFormat="1" applyFont="1" applyBorder="1"/>
    <xf numFmtId="0" fontId="5" fillId="0" borderId="1" xfId="2" applyBorder="1"/>
    <xf numFmtId="164" fontId="6" fillId="0" borderId="1" xfId="0" applyNumberFormat="1" applyFont="1" applyBorder="1"/>
    <xf numFmtId="164" fontId="6" fillId="0" borderId="1" xfId="1" applyNumberFormat="1" applyFont="1" applyFill="1" applyBorder="1"/>
    <xf numFmtId="1" fontId="4" fillId="2" borderId="3" xfId="0" applyNumberFormat="1" applyFont="1" applyFill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164" fontId="4" fillId="3" borderId="3" xfId="0" applyNumberFormat="1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9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CO" b="1">
                <a:solidFill>
                  <a:schemeClr val="bg1"/>
                </a:solidFill>
              </a:rPr>
              <a:t>Flujo</a:t>
            </a:r>
            <a:r>
              <a:rPr lang="es-CO" b="1" baseline="0">
                <a:solidFill>
                  <a:schemeClr val="bg1"/>
                </a:solidFill>
              </a:rPr>
              <a:t> de Caja</a:t>
            </a:r>
            <a:endParaRPr lang="es-CO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FdC!$B$1</c:f>
              <c:strCache>
                <c:ptCount val="1"/>
                <c:pt idx="0">
                  <c:v>OPEX (+ CAPEX)</c:v>
                </c:pt>
              </c:strCache>
            </c:strRef>
          </c:tx>
          <c:spPr>
            <a:solidFill>
              <a:srgbClr val="9A0000"/>
            </a:solidFill>
            <a:ln>
              <a:noFill/>
            </a:ln>
            <a:effectLst/>
          </c:spPr>
          <c:invertIfNegative val="0"/>
          <c:val>
            <c:numRef>
              <c:f>FdC!$B$2:$B$21</c:f>
              <c:numCache>
                <c:formatCode>"$"#,##0.00_);[Red]\("$"#,##0.00\)</c:formatCode>
                <c:ptCount val="20"/>
                <c:pt idx="0">
                  <c:v>-281994387</c:v>
                </c:pt>
                <c:pt idx="1">
                  <c:v>-52515288.5</c:v>
                </c:pt>
                <c:pt idx="2">
                  <c:v>-52515288.5</c:v>
                </c:pt>
                <c:pt idx="3">
                  <c:v>-52515288.5</c:v>
                </c:pt>
                <c:pt idx="4">
                  <c:v>-52515288.5</c:v>
                </c:pt>
                <c:pt idx="5">
                  <c:v>-52515288.5</c:v>
                </c:pt>
                <c:pt idx="6">
                  <c:v>-52515288.5</c:v>
                </c:pt>
                <c:pt idx="7">
                  <c:v>-52515288.5</c:v>
                </c:pt>
                <c:pt idx="8">
                  <c:v>-52515288.5</c:v>
                </c:pt>
                <c:pt idx="9">
                  <c:v>-52515288.5</c:v>
                </c:pt>
                <c:pt idx="10">
                  <c:v>-52515288.5</c:v>
                </c:pt>
                <c:pt idx="11">
                  <c:v>-52515288.5</c:v>
                </c:pt>
                <c:pt idx="12">
                  <c:v>-52515288.5</c:v>
                </c:pt>
                <c:pt idx="13">
                  <c:v>-52515288.5</c:v>
                </c:pt>
                <c:pt idx="14">
                  <c:v>-52515288.5</c:v>
                </c:pt>
                <c:pt idx="15">
                  <c:v>-52515288.5</c:v>
                </c:pt>
                <c:pt idx="16">
                  <c:v>-52515288.5</c:v>
                </c:pt>
                <c:pt idx="17">
                  <c:v>-52515288.5</c:v>
                </c:pt>
                <c:pt idx="18">
                  <c:v>-52515288.5</c:v>
                </c:pt>
                <c:pt idx="19">
                  <c:v>-52515288.5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F7-43CB-B385-1D5A2F2E76DA}"/>
            </c:ext>
          </c:extLst>
        </c:ser>
        <c:ser>
          <c:idx val="2"/>
          <c:order val="2"/>
          <c:tx>
            <c:strRef>
              <c:f>FdC!$C$1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val>
            <c:numRef>
              <c:f>FdC!$C$2:$C$21</c:f>
              <c:numCache>
                <c:formatCode>"$"#,##0_);[Red]\("$"#,##0\)</c:formatCode>
                <c:ptCount val="20"/>
                <c:pt idx="0">
                  <c:v>0</c:v>
                </c:pt>
                <c:pt idx="1">
                  <c:v>88957030.508875743</c:v>
                </c:pt>
                <c:pt idx="2">
                  <c:v>88957030.508875743</c:v>
                </c:pt>
                <c:pt idx="3">
                  <c:v>88957030.508875743</c:v>
                </c:pt>
                <c:pt idx="4">
                  <c:v>88957030.508875743</c:v>
                </c:pt>
                <c:pt idx="5">
                  <c:v>88957030.508875743</c:v>
                </c:pt>
                <c:pt idx="6">
                  <c:v>88957030.508875743</c:v>
                </c:pt>
                <c:pt idx="7">
                  <c:v>88957030.508875743</c:v>
                </c:pt>
                <c:pt idx="8">
                  <c:v>88957030.508875743</c:v>
                </c:pt>
                <c:pt idx="9">
                  <c:v>88957030.508875743</c:v>
                </c:pt>
                <c:pt idx="10">
                  <c:v>88957030.508875743</c:v>
                </c:pt>
                <c:pt idx="11">
                  <c:v>88957030.508875743</c:v>
                </c:pt>
                <c:pt idx="12">
                  <c:v>88957030.508875743</c:v>
                </c:pt>
                <c:pt idx="13">
                  <c:v>88957030.508875743</c:v>
                </c:pt>
                <c:pt idx="14">
                  <c:v>88957030.508875743</c:v>
                </c:pt>
                <c:pt idx="15">
                  <c:v>88957030.508875743</c:v>
                </c:pt>
                <c:pt idx="16">
                  <c:v>88957030.508875743</c:v>
                </c:pt>
                <c:pt idx="17">
                  <c:v>88957030.508875743</c:v>
                </c:pt>
                <c:pt idx="18">
                  <c:v>88957030.508875743</c:v>
                </c:pt>
                <c:pt idx="19">
                  <c:v>88957030.508875743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F7-43CB-B385-1D5A2F2E76DA}"/>
            </c:ext>
          </c:extLst>
        </c:ser>
        <c:ser>
          <c:idx val="3"/>
          <c:order val="3"/>
          <c:tx>
            <c:strRef>
              <c:f>FdC!$D$1</c:f>
              <c:strCache>
                <c:ptCount val="1"/>
                <c:pt idx="0">
                  <c:v>Flujo neto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FdC!$D$2:$D$21</c:f>
              <c:numCache>
                <c:formatCode>"$"#,##0_);[Red]\("$"#,##0\)</c:formatCode>
                <c:ptCount val="20"/>
                <c:pt idx="0">
                  <c:v>-281994387</c:v>
                </c:pt>
                <c:pt idx="1">
                  <c:v>36441742.008875743</c:v>
                </c:pt>
                <c:pt idx="2">
                  <c:v>36441742.008875743</c:v>
                </c:pt>
                <c:pt idx="3">
                  <c:v>36441742.008875743</c:v>
                </c:pt>
                <c:pt idx="4">
                  <c:v>36441742.008875743</c:v>
                </c:pt>
                <c:pt idx="5">
                  <c:v>36441742.008875743</c:v>
                </c:pt>
                <c:pt idx="6">
                  <c:v>36441742.008875743</c:v>
                </c:pt>
                <c:pt idx="7">
                  <c:v>36441742.008875743</c:v>
                </c:pt>
                <c:pt idx="8">
                  <c:v>36441742.008875743</c:v>
                </c:pt>
                <c:pt idx="9">
                  <c:v>36441742.008875743</c:v>
                </c:pt>
                <c:pt idx="10">
                  <c:v>36441742.008875743</c:v>
                </c:pt>
                <c:pt idx="11">
                  <c:v>36441742.008875743</c:v>
                </c:pt>
                <c:pt idx="12">
                  <c:v>36441742.008875743</c:v>
                </c:pt>
                <c:pt idx="13">
                  <c:v>36441742.008875743</c:v>
                </c:pt>
                <c:pt idx="14">
                  <c:v>36441742.008875743</c:v>
                </c:pt>
                <c:pt idx="15">
                  <c:v>36441742.008875743</c:v>
                </c:pt>
                <c:pt idx="16">
                  <c:v>36441742.008875743</c:v>
                </c:pt>
                <c:pt idx="17">
                  <c:v>36441742.008875743</c:v>
                </c:pt>
                <c:pt idx="18">
                  <c:v>36441742.008875743</c:v>
                </c:pt>
                <c:pt idx="19">
                  <c:v>36441742.008875743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F7-43CB-B385-1D5A2F2E76DA}"/>
            </c:ext>
          </c:extLst>
        </c:ser>
        <c:ser>
          <c:idx val="4"/>
          <c:order val="4"/>
          <c:tx>
            <c:strRef>
              <c:f>FdC!$E$1</c:f>
              <c:strCache>
                <c:ptCount val="1"/>
                <c:pt idx="0">
                  <c:v>Flujo acumulado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FdC!$E$2:$E$21</c:f>
              <c:numCache>
                <c:formatCode>"$"#,##0_);[Red]\("$"#,##0\)</c:formatCode>
                <c:ptCount val="20"/>
                <c:pt idx="0">
                  <c:v>-281994387</c:v>
                </c:pt>
                <c:pt idx="1">
                  <c:v>-245552644.99112427</c:v>
                </c:pt>
                <c:pt idx="2">
                  <c:v>-209110902.98224854</c:v>
                </c:pt>
                <c:pt idx="3">
                  <c:v>-172669160.97337282</c:v>
                </c:pt>
                <c:pt idx="4">
                  <c:v>-136227418.96449709</c:v>
                </c:pt>
                <c:pt idx="5">
                  <c:v>-99785676.955621347</c:v>
                </c:pt>
                <c:pt idx="6">
                  <c:v>-63343934.946745604</c:v>
                </c:pt>
                <c:pt idx="7">
                  <c:v>-26902192.937869862</c:v>
                </c:pt>
                <c:pt idx="8">
                  <c:v>9539549.0710058808</c:v>
                </c:pt>
                <c:pt idx="9">
                  <c:v>45981291.079881623</c:v>
                </c:pt>
                <c:pt idx="10">
                  <c:v>82423033.088757366</c:v>
                </c:pt>
                <c:pt idx="11">
                  <c:v>118864775.09763311</c:v>
                </c:pt>
                <c:pt idx="12">
                  <c:v>155306517.10650885</c:v>
                </c:pt>
                <c:pt idx="13">
                  <c:v>191748259.11538458</c:v>
                </c:pt>
                <c:pt idx="14">
                  <c:v>228190001.12426031</c:v>
                </c:pt>
                <c:pt idx="15">
                  <c:v>264631743.13313603</c:v>
                </c:pt>
                <c:pt idx="16">
                  <c:v>301073485.14201176</c:v>
                </c:pt>
                <c:pt idx="17">
                  <c:v>337515227.15088749</c:v>
                </c:pt>
                <c:pt idx="18">
                  <c:v>373956969.15976322</c:v>
                </c:pt>
                <c:pt idx="19">
                  <c:v>410398711.16863894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F7-43CB-B385-1D5A2F2E7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8890912"/>
        <c:axId val="91889859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FdC!$A$1</c15:sqref>
                        </c15:formulaRef>
                      </c:ext>
                    </c:extLst>
                    <c:strCache>
                      <c:ptCount val="1"/>
                      <c:pt idx="0">
                        <c:v>Año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FdC!$A$2:$A$21</c15:sqref>
                        </c15:formulaRef>
                      </c:ext>
                    </c:extLst>
                    <c:numCache>
                      <c:formatCode>0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1F7-43CB-B385-1D5A2F2E76DA}"/>
                  </c:ext>
                </c:extLst>
              </c15:ser>
            </c15:filteredBarSeries>
          </c:ext>
        </c:extLst>
      </c:barChart>
      <c:catAx>
        <c:axId val="918890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18898592"/>
        <c:crosses val="autoZero"/>
        <c:auto val="1"/>
        <c:lblAlgn val="ctr"/>
        <c:lblOffset val="100"/>
        <c:noMultiLvlLbl val="0"/>
      </c:catAx>
      <c:valAx>
        <c:axId val="91889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18890912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C000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431345</xdr:colOff>
      <xdr:row>0</xdr:row>
      <xdr:rowOff>90487</xdr:rowOff>
    </xdr:from>
    <xdr:to>
      <xdr:col>13</xdr:col>
      <xdr:colOff>148943</xdr:colOff>
      <xdr:row>20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8DC591D-F660-241E-5976-328A18A6BF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libaba.com/product-detail/Best-Price-Automatic-Robot-Arm-Palletizer_1601631617072.html?spm=a2700.galleryofferlist.normal_offer.d_title.193f13a0KutoFH&amp;priceId=74ddbed55cf64861a03c5df9930f23ac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orporativo.compensar.com/afiliaciones/calculadora-aportes" TargetMode="External"/><Relationship Id="rId3" Type="http://schemas.openxmlformats.org/officeDocument/2006/relationships/hyperlink" Target="https://www.paxiom.com/blogs/robotic-palletizing/" TargetMode="External"/><Relationship Id="rId7" Type="http://schemas.openxmlformats.org/officeDocument/2006/relationships/hyperlink" Target="https://openit.com/es/siemens-nx-reinvents-to-cater-to-aec-industrys-needs/" TargetMode="External"/><Relationship Id="rId2" Type="http://schemas.openxmlformats.org/officeDocument/2006/relationships/hyperlink" Target="https://www.rockwellautomation.com/en-pl/support/workforce-development-training/training-calendar.html" TargetMode="External"/><Relationship Id="rId1" Type="http://schemas.openxmlformats.org/officeDocument/2006/relationships/hyperlink" Target="https://costbrief.com/industrial-robot-costs-pricing/" TargetMode="External"/><Relationship Id="rId6" Type="http://schemas.openxmlformats.org/officeDocument/2006/relationships/hyperlink" Target="https://industrialmonitordirect.com/es/blogs/knowledgebase/studio-5000-license-cost-pricing-tiers-for-controllogix" TargetMode="External"/><Relationship Id="rId11" Type="http://schemas.openxmlformats.org/officeDocument/2006/relationships/hyperlink" Target="https://investors.coca-colafemsa.com/assets/files/reportes_resultados_esp/2020/190321-kof-estados-financieros-2020-final.pdf" TargetMode="External"/><Relationship Id="rId5" Type="http://schemas.openxmlformats.org/officeDocument/2006/relationships/hyperlink" Target="https://www.alibaba.com/product-detail/Best-Price-Automatic-Robot-Arm-Palletizer_1601631617072.html?spm=a2700.galleryofferlist.normal_offer.d_title.193f13a0KutoFH&amp;priceId=74ddbed55cf64861a03c5df9930f23ac" TargetMode="External"/><Relationship Id="rId10" Type="http://schemas.openxmlformats.org/officeDocument/2006/relationships/hyperlink" Target="https://pascosystems.com/resources/cost-savings-of-palletizing/" TargetMode="External"/><Relationship Id="rId4" Type="http://schemas.openxmlformats.org/officeDocument/2006/relationships/hyperlink" Target="https://costbrief.com/industrial-robot-costs-pricing/" TargetMode="External"/><Relationship Id="rId9" Type="http://schemas.openxmlformats.org/officeDocument/2006/relationships/hyperlink" Target="https://www.mxwholesale.co.uk/products/pallet-deal-504-x-coca-cola-original-bottles-1-5l-eu-6p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26771-BBF1-4BDA-AE97-3F55ED6FC1BC}">
  <dimension ref="A1:D6"/>
  <sheetViews>
    <sheetView zoomScale="95" zoomScaleNormal="95" workbookViewId="0">
      <selection activeCell="B3" sqref="B3"/>
    </sheetView>
  </sheetViews>
  <sheetFormatPr baseColWidth="10" defaultRowHeight="15" x14ac:dyDescent="0.25"/>
  <cols>
    <col min="1" max="1" width="52.7109375" style="1" customWidth="1"/>
    <col min="2" max="3" width="18.5703125" style="2" customWidth="1"/>
    <col min="4" max="4" width="231.85546875" style="3" customWidth="1"/>
    <col min="5" max="16384" width="11.42578125" style="1"/>
  </cols>
  <sheetData>
    <row r="1" spans="1:4" s="8" customFormat="1" ht="36" customHeight="1" x14ac:dyDescent="0.25">
      <c r="A1" s="8" t="s">
        <v>3</v>
      </c>
      <c r="B1" s="9" t="s">
        <v>24</v>
      </c>
      <c r="C1" s="9" t="s">
        <v>10</v>
      </c>
      <c r="D1" s="8" t="s">
        <v>25</v>
      </c>
    </row>
    <row r="2" spans="1:4" x14ac:dyDescent="0.25">
      <c r="A2" s="1" t="s">
        <v>1</v>
      </c>
      <c r="B2" s="2">
        <f>188299170+5000000</f>
        <v>193299170</v>
      </c>
      <c r="C2" s="18">
        <f t="shared" ref="C2" si="0">B2*1.1</f>
        <v>212629087.00000003</v>
      </c>
      <c r="D2" s="21" t="s">
        <v>0</v>
      </c>
    </row>
    <row r="3" spans="1:4" x14ac:dyDescent="0.25">
      <c r="C3" s="1"/>
    </row>
    <row r="4" spans="1:4" ht="14.25" customHeight="1" x14ac:dyDescent="0.25">
      <c r="D4" s="3" t="s">
        <v>2</v>
      </c>
    </row>
    <row r="6" spans="1:4" ht="15.75" customHeight="1" x14ac:dyDescent="0.25"/>
  </sheetData>
  <hyperlinks>
    <hyperlink ref="D2" r:id="rId1" xr:uid="{9A50C6FB-7EC3-47F5-8CDA-3371F386B73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1E273-002F-44CB-B87B-B9FBB131734B}">
  <dimension ref="A1:J22"/>
  <sheetViews>
    <sheetView tabSelected="1" workbookViewId="0">
      <selection activeCell="H24" sqref="H24"/>
    </sheetView>
  </sheetViews>
  <sheetFormatPr baseColWidth="10" defaultRowHeight="15" x14ac:dyDescent="0.25"/>
  <cols>
    <col min="1" max="1" width="26.140625" style="4" customWidth="1"/>
    <col min="2" max="2" width="14.42578125" style="5" customWidth="1"/>
    <col min="3" max="3" width="12" style="4" customWidth="1"/>
    <col min="4" max="4" width="30.28515625" style="4" customWidth="1"/>
    <col min="5" max="5" width="14.85546875" style="4" customWidth="1"/>
    <col min="6" max="6" width="11.42578125" style="4"/>
    <col min="7" max="7" width="45.140625" style="4" customWidth="1"/>
    <col min="8" max="8" width="24.140625" style="4" customWidth="1"/>
    <col min="9" max="16384" width="11.42578125" style="4"/>
  </cols>
  <sheetData>
    <row r="1" spans="1:10" x14ac:dyDescent="0.25">
      <c r="A1" s="26" t="s">
        <v>21</v>
      </c>
      <c r="B1" s="26"/>
      <c r="D1" s="26" t="s">
        <v>22</v>
      </c>
      <c r="E1" s="26"/>
      <c r="G1" s="26" t="s">
        <v>23</v>
      </c>
      <c r="H1" s="26"/>
    </row>
    <row r="2" spans="1:10" x14ac:dyDescent="0.25">
      <c r="A2" s="4" t="s">
        <v>3</v>
      </c>
      <c r="B2" s="5" t="s">
        <v>4</v>
      </c>
      <c r="D2" s="4" t="s">
        <v>3</v>
      </c>
      <c r="E2" s="5" t="s">
        <v>4</v>
      </c>
      <c r="G2" s="4" t="s">
        <v>3</v>
      </c>
      <c r="H2" s="5" t="s">
        <v>4</v>
      </c>
      <c r="J2" s="4" t="s">
        <v>33</v>
      </c>
    </row>
    <row r="3" spans="1:10" x14ac:dyDescent="0.25">
      <c r="A3" s="4" t="s">
        <v>5</v>
      </c>
      <c r="B3" s="5">
        <v>5000000</v>
      </c>
      <c r="C3" s="19" t="s">
        <v>35</v>
      </c>
      <c r="D3" s="4" t="s">
        <v>7</v>
      </c>
      <c r="E3" s="4">
        <f>Adquisiciones!C2</f>
        <v>212629087.00000003</v>
      </c>
      <c r="G3" s="4" t="s">
        <v>8</v>
      </c>
      <c r="H3" s="4">
        <f>1265988*12*4</f>
        <v>60767424</v>
      </c>
      <c r="I3" s="19" t="s">
        <v>37</v>
      </c>
      <c r="J3" s="4" t="s">
        <v>33</v>
      </c>
    </row>
    <row r="4" spans="1:10" x14ac:dyDescent="0.25">
      <c r="A4" s="4" t="s">
        <v>9</v>
      </c>
      <c r="B4" s="5">
        <f>(9)*14.8333*750*300</f>
        <v>30037432.5</v>
      </c>
      <c r="C4" s="19" t="s">
        <v>0</v>
      </c>
      <c r="D4" s="4" t="s">
        <v>16</v>
      </c>
      <c r="E4" s="4">
        <f>(2236+3904+2236+2236)*1000</f>
        <v>10612000</v>
      </c>
      <c r="F4" s="19" t="s">
        <v>36</v>
      </c>
      <c r="G4" s="4" t="s">
        <v>12</v>
      </c>
      <c r="H4" s="4">
        <f>1000*3*300</f>
        <v>900000</v>
      </c>
      <c r="J4" s="4" t="s">
        <v>33</v>
      </c>
    </row>
    <row r="5" spans="1:10" x14ac:dyDescent="0.25">
      <c r="A5" s="4" t="s">
        <v>6</v>
      </c>
      <c r="B5" s="5">
        <f>2652*4328</f>
        <v>11477856</v>
      </c>
      <c r="C5" s="19" t="s">
        <v>40</v>
      </c>
      <c r="D5" s="4" t="s">
        <v>17</v>
      </c>
      <c r="E5" s="4">
        <f>(10000)*4000</f>
        <v>40000000</v>
      </c>
      <c r="F5" s="19" t="s">
        <v>35</v>
      </c>
      <c r="G5" s="4" t="s">
        <v>13</v>
      </c>
      <c r="H5" s="4">
        <f>1000*1*300</f>
        <v>300000</v>
      </c>
      <c r="J5" s="4" t="s">
        <v>33</v>
      </c>
    </row>
    <row r="6" spans="1:10" x14ac:dyDescent="0.25">
      <c r="A6" s="4" t="s">
        <v>32</v>
      </c>
      <c r="B6" s="5">
        <f>1500*4000</f>
        <v>6000000</v>
      </c>
      <c r="D6" s="4" t="s">
        <v>34</v>
      </c>
      <c r="E6" s="4">
        <f>E21*6</f>
        <v>18753300</v>
      </c>
      <c r="F6" s="19" t="s">
        <v>47</v>
      </c>
      <c r="G6" s="4" t="s">
        <v>14</v>
      </c>
      <c r="H6" s="4">
        <f>H16</f>
        <v>4608000</v>
      </c>
      <c r="J6" s="4" t="s">
        <v>33</v>
      </c>
    </row>
    <row r="7" spans="1:10" x14ac:dyDescent="0.25">
      <c r="A7" s="4" t="s">
        <v>38</v>
      </c>
      <c r="B7" s="5">
        <f>7200*3500</f>
        <v>25200000</v>
      </c>
      <c r="C7" s="19" t="s">
        <v>39</v>
      </c>
      <c r="D7" s="4" t="s">
        <v>48</v>
      </c>
      <c r="E7" s="4">
        <v>500000</v>
      </c>
      <c r="G7" s="4" t="s">
        <v>54</v>
      </c>
      <c r="H7" s="4">
        <f>20000*14.8333*1500*300*(153/9126)*1%</f>
        <v>22381606.508875739</v>
      </c>
      <c r="I7" s="19" t="s">
        <v>55</v>
      </c>
      <c r="J7" s="4" t="s">
        <v>33</v>
      </c>
    </row>
    <row r="8" spans="1:10" x14ac:dyDescent="0.25">
      <c r="J8" s="4" t="s">
        <v>33</v>
      </c>
    </row>
    <row r="9" spans="1:10" x14ac:dyDescent="0.25">
      <c r="J9" s="4" t="s">
        <v>33</v>
      </c>
    </row>
    <row r="10" spans="1:10" x14ac:dyDescent="0.25">
      <c r="J10" s="4" t="s">
        <v>33</v>
      </c>
    </row>
    <row r="11" spans="1:10" x14ac:dyDescent="0.25">
      <c r="B11" s="5">
        <f>SUM(B3:B6)</f>
        <v>52515288.5</v>
      </c>
      <c r="E11" s="4">
        <f>SUM(E3:E6)</f>
        <v>281994387</v>
      </c>
      <c r="H11" s="4">
        <f xml:space="preserve"> SUM(H3:H10)</f>
        <v>88957030.508875743</v>
      </c>
      <c r="J11" s="4" t="s">
        <v>33</v>
      </c>
    </row>
    <row r="12" spans="1:10" x14ac:dyDescent="0.25">
      <c r="J12" s="4" t="s">
        <v>33</v>
      </c>
    </row>
    <row r="13" spans="1:10" x14ac:dyDescent="0.25">
      <c r="D13" s="27" t="s">
        <v>41</v>
      </c>
      <c r="E13" s="28"/>
      <c r="G13" s="27" t="s">
        <v>50</v>
      </c>
      <c r="H13" s="28"/>
      <c r="J13" s="4" t="s">
        <v>33</v>
      </c>
    </row>
    <row r="14" spans="1:10" x14ac:dyDescent="0.25">
      <c r="D14" s="22" t="s">
        <v>3</v>
      </c>
      <c r="E14" s="23" t="s">
        <v>4</v>
      </c>
      <c r="G14" s="4" t="s">
        <v>3</v>
      </c>
      <c r="H14" s="4" t="s">
        <v>4</v>
      </c>
      <c r="J14" s="4" t="s">
        <v>33</v>
      </c>
    </row>
    <row r="15" spans="1:10" x14ac:dyDescent="0.25">
      <c r="D15" s="22" t="s">
        <v>42</v>
      </c>
      <c r="E15" s="23">
        <v>2500000</v>
      </c>
      <c r="G15" s="4" t="s">
        <v>51</v>
      </c>
      <c r="H15" s="4">
        <f>1500*384</f>
        <v>576000</v>
      </c>
      <c r="I15" s="19" t="s">
        <v>49</v>
      </c>
      <c r="J15" s="4" t="s">
        <v>33</v>
      </c>
    </row>
    <row r="16" spans="1:10" x14ac:dyDescent="0.25">
      <c r="D16" s="22" t="s">
        <v>43</v>
      </c>
      <c r="E16" s="23">
        <f>E15*0.522%</f>
        <v>13050</v>
      </c>
      <c r="G16" s="4" t="s">
        <v>52</v>
      </c>
      <c r="H16" s="4">
        <f>H15*(8)</f>
        <v>4608000</v>
      </c>
      <c r="I16" s="19" t="s">
        <v>53</v>
      </c>
      <c r="J16" s="4" t="s">
        <v>33</v>
      </c>
    </row>
    <row r="17" spans="4:10" x14ac:dyDescent="0.25">
      <c r="D17" s="22" t="s">
        <v>44</v>
      </c>
      <c r="E17" s="23">
        <f>E15*12%</f>
        <v>300000</v>
      </c>
      <c r="J17" s="4" t="s">
        <v>33</v>
      </c>
    </row>
    <row r="18" spans="4:10" x14ac:dyDescent="0.25">
      <c r="D18" s="22" t="s">
        <v>45</v>
      </c>
      <c r="E18" s="23">
        <f>E15*8.5%</f>
        <v>212500.00000000003</v>
      </c>
      <c r="J18" s="4" t="s">
        <v>33</v>
      </c>
    </row>
    <row r="19" spans="4:10" x14ac:dyDescent="0.25">
      <c r="D19" s="4" t="s">
        <v>46</v>
      </c>
      <c r="E19" s="5">
        <f>E15*4%</f>
        <v>100000</v>
      </c>
      <c r="J19" s="4" t="s">
        <v>33</v>
      </c>
    </row>
    <row r="20" spans="4:10" x14ac:dyDescent="0.25">
      <c r="E20" s="5"/>
      <c r="J20" s="4" t="s">
        <v>33</v>
      </c>
    </row>
    <row r="21" spans="4:10" x14ac:dyDescent="0.25">
      <c r="E21" s="5">
        <f>SUM(E15:E19)</f>
        <v>3125550</v>
      </c>
      <c r="J21" s="4" t="s">
        <v>33</v>
      </c>
    </row>
    <row r="22" spans="4:10" x14ac:dyDescent="0.25">
      <c r="J22" s="4" t="s">
        <v>33</v>
      </c>
    </row>
  </sheetData>
  <mergeCells count="5">
    <mergeCell ref="A1:B1"/>
    <mergeCell ref="D1:E1"/>
    <mergeCell ref="G1:H1"/>
    <mergeCell ref="D13:E13"/>
    <mergeCell ref="G13:H13"/>
  </mergeCells>
  <hyperlinks>
    <hyperlink ref="F5" r:id="rId1" xr:uid="{ADF784E2-68FC-4B2E-BCC1-790BF86EB68D}"/>
    <hyperlink ref="F4" r:id="rId2" xr:uid="{56839E54-40A4-4628-8AAC-3904428C1DDE}"/>
    <hyperlink ref="I3" r:id="rId3" display="https://www.paxiom.com/blogs/robotic-palletizing/" xr:uid="{B11B17C2-FF5D-44CB-B7DB-FF30F443A4AC}"/>
    <hyperlink ref="C3" r:id="rId4" xr:uid="{EAE665CA-5E6D-4F56-A17C-97822EF828F6}"/>
    <hyperlink ref="C4" r:id="rId5" xr:uid="{AE4BA1C4-2BD4-4E3A-98D1-F571448FB367}"/>
    <hyperlink ref="C5" r:id="rId6" xr:uid="{DAC22628-7587-405A-821C-8FD093999B7B}"/>
    <hyperlink ref="C7" r:id="rId7" xr:uid="{D0AD06A3-27EC-4EF4-8201-4A922DF1BF7F}"/>
    <hyperlink ref="F6" r:id="rId8" xr:uid="{77411267-9DF1-4BF9-8CB5-16F9F931E1E3}"/>
    <hyperlink ref="I15" r:id="rId9" xr:uid="{3F698569-B7A3-4FE9-A295-16D1DD181AB5}"/>
    <hyperlink ref="I16" r:id="rId10" xr:uid="{A8CC7652-D463-4B39-85DA-F88E61FBB6D7}"/>
    <hyperlink ref="I7" r:id="rId11" xr:uid="{C3F8E9A8-E9E9-4A4B-B96B-77303F74F2D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FD7C4-7C36-405F-988D-68A540A30D5D}">
  <dimension ref="A1:E29"/>
  <sheetViews>
    <sheetView zoomScale="77" zoomScaleNormal="77" workbookViewId="0">
      <selection activeCell="D27" sqref="D27"/>
    </sheetView>
  </sheetViews>
  <sheetFormatPr baseColWidth="10" defaultRowHeight="15" x14ac:dyDescent="0.25"/>
  <cols>
    <col min="1" max="1" width="17" style="6" customWidth="1"/>
    <col min="2" max="2" width="17.85546875" style="7" customWidth="1"/>
    <col min="3" max="3" width="17.7109375" style="15" customWidth="1"/>
    <col min="4" max="4" width="17.42578125" style="15" customWidth="1"/>
    <col min="5" max="5" width="16.28515625" style="15" customWidth="1"/>
    <col min="6" max="16384" width="11.42578125" style="4"/>
  </cols>
  <sheetData>
    <row r="1" spans="1:5" s="10" customFormat="1" x14ac:dyDescent="0.25">
      <c r="A1" s="11" t="s">
        <v>11</v>
      </c>
      <c r="B1" s="12" t="s">
        <v>15</v>
      </c>
      <c r="C1" s="14" t="s">
        <v>19</v>
      </c>
      <c r="D1" s="14" t="s">
        <v>20</v>
      </c>
      <c r="E1" s="14" t="s">
        <v>18</v>
      </c>
    </row>
    <row r="2" spans="1:5" x14ac:dyDescent="0.25">
      <c r="A2" s="13">
        <v>1</v>
      </c>
      <c r="B2" s="7">
        <f>'EX+B'!E11*-1</f>
        <v>-281994387</v>
      </c>
      <c r="C2" s="15">
        <v>0</v>
      </c>
      <c r="D2" s="15">
        <f t="shared" ref="D2:D21" si="0">SUM(B2:C2)</f>
        <v>-281994387</v>
      </c>
      <c r="E2" s="15">
        <f>D2</f>
        <v>-281994387</v>
      </c>
    </row>
    <row r="3" spans="1:5" x14ac:dyDescent="0.25">
      <c r="A3" s="13">
        <v>2</v>
      </c>
      <c r="B3" s="7">
        <f>'EX+B'!B11*-1</f>
        <v>-52515288.5</v>
      </c>
      <c r="C3" s="15">
        <f>'EX+B'!H11</f>
        <v>88957030.508875743</v>
      </c>
      <c r="D3" s="15">
        <f>SUM(B3:C3)</f>
        <v>36441742.008875743</v>
      </c>
      <c r="E3" s="15">
        <f>E2+D3</f>
        <v>-245552644.99112427</v>
      </c>
    </row>
    <row r="4" spans="1:5" x14ac:dyDescent="0.25">
      <c r="A4" s="13">
        <v>3</v>
      </c>
      <c r="B4" s="7">
        <f>B3</f>
        <v>-52515288.5</v>
      </c>
      <c r="C4" s="15">
        <f>C3</f>
        <v>88957030.508875743</v>
      </c>
      <c r="D4" s="15">
        <f t="shared" si="0"/>
        <v>36441742.008875743</v>
      </c>
      <c r="E4" s="15">
        <f t="shared" ref="E4:E21" si="1">E3+D4</f>
        <v>-209110902.98224854</v>
      </c>
    </row>
    <row r="5" spans="1:5" x14ac:dyDescent="0.25">
      <c r="A5" s="13">
        <v>4</v>
      </c>
      <c r="B5" s="7">
        <f t="shared" ref="B5:B19" si="2">B4</f>
        <v>-52515288.5</v>
      </c>
      <c r="C5" s="15">
        <f t="shared" ref="C5:C21" si="3">C4</f>
        <v>88957030.508875743</v>
      </c>
      <c r="D5" s="15">
        <f t="shared" si="0"/>
        <v>36441742.008875743</v>
      </c>
      <c r="E5" s="15">
        <f t="shared" si="1"/>
        <v>-172669160.97337282</v>
      </c>
    </row>
    <row r="6" spans="1:5" x14ac:dyDescent="0.25">
      <c r="A6" s="13">
        <v>5</v>
      </c>
      <c r="B6" s="7">
        <f t="shared" si="2"/>
        <v>-52515288.5</v>
      </c>
      <c r="C6" s="15">
        <f t="shared" si="3"/>
        <v>88957030.508875743</v>
      </c>
      <c r="D6" s="15">
        <f t="shared" si="0"/>
        <v>36441742.008875743</v>
      </c>
      <c r="E6" s="15">
        <f t="shared" si="1"/>
        <v>-136227418.96449709</v>
      </c>
    </row>
    <row r="7" spans="1:5" x14ac:dyDescent="0.25">
      <c r="A7" s="13">
        <v>6</v>
      </c>
      <c r="B7" s="7">
        <f t="shared" si="2"/>
        <v>-52515288.5</v>
      </c>
      <c r="C7" s="15">
        <f t="shared" si="3"/>
        <v>88957030.508875743</v>
      </c>
      <c r="D7" s="15">
        <f t="shared" si="0"/>
        <v>36441742.008875743</v>
      </c>
      <c r="E7" s="15">
        <f t="shared" si="1"/>
        <v>-99785676.955621347</v>
      </c>
    </row>
    <row r="8" spans="1:5" x14ac:dyDescent="0.25">
      <c r="A8" s="13">
        <v>7</v>
      </c>
      <c r="B8" s="7">
        <f t="shared" si="2"/>
        <v>-52515288.5</v>
      </c>
      <c r="C8" s="15">
        <f t="shared" si="3"/>
        <v>88957030.508875743</v>
      </c>
      <c r="D8" s="15">
        <f t="shared" si="0"/>
        <v>36441742.008875743</v>
      </c>
      <c r="E8" s="15">
        <f t="shared" si="1"/>
        <v>-63343934.946745604</v>
      </c>
    </row>
    <row r="9" spans="1:5" x14ac:dyDescent="0.25">
      <c r="A9" s="13">
        <v>8</v>
      </c>
      <c r="B9" s="7">
        <f t="shared" si="2"/>
        <v>-52515288.5</v>
      </c>
      <c r="C9" s="15">
        <f t="shared" si="3"/>
        <v>88957030.508875743</v>
      </c>
      <c r="D9" s="15">
        <f t="shared" si="0"/>
        <v>36441742.008875743</v>
      </c>
      <c r="E9" s="15">
        <f t="shared" si="1"/>
        <v>-26902192.937869862</v>
      </c>
    </row>
    <row r="10" spans="1:5" x14ac:dyDescent="0.25">
      <c r="A10" s="13">
        <v>9</v>
      </c>
      <c r="B10" s="7">
        <f t="shared" si="2"/>
        <v>-52515288.5</v>
      </c>
      <c r="C10" s="15">
        <f t="shared" si="3"/>
        <v>88957030.508875743</v>
      </c>
      <c r="D10" s="15">
        <f t="shared" si="0"/>
        <v>36441742.008875743</v>
      </c>
      <c r="E10" s="15">
        <f t="shared" si="1"/>
        <v>9539549.0710058808</v>
      </c>
    </row>
    <row r="11" spans="1:5" x14ac:dyDescent="0.25">
      <c r="A11" s="13">
        <v>10</v>
      </c>
      <c r="B11" s="7">
        <f t="shared" si="2"/>
        <v>-52515288.5</v>
      </c>
      <c r="C11" s="15">
        <f t="shared" si="3"/>
        <v>88957030.508875743</v>
      </c>
      <c r="D11" s="15">
        <f t="shared" si="0"/>
        <v>36441742.008875743</v>
      </c>
      <c r="E11" s="15">
        <f t="shared" si="1"/>
        <v>45981291.079881623</v>
      </c>
    </row>
    <row r="12" spans="1:5" x14ac:dyDescent="0.25">
      <c r="A12" s="13">
        <v>11</v>
      </c>
      <c r="B12" s="7">
        <f t="shared" si="2"/>
        <v>-52515288.5</v>
      </c>
      <c r="C12" s="15">
        <f t="shared" si="3"/>
        <v>88957030.508875743</v>
      </c>
      <c r="D12" s="15">
        <f t="shared" si="0"/>
        <v>36441742.008875743</v>
      </c>
      <c r="E12" s="15">
        <f t="shared" si="1"/>
        <v>82423033.088757366</v>
      </c>
    </row>
    <row r="13" spans="1:5" x14ac:dyDescent="0.25">
      <c r="A13" s="13">
        <v>12</v>
      </c>
      <c r="B13" s="7">
        <f t="shared" si="2"/>
        <v>-52515288.5</v>
      </c>
      <c r="C13" s="15">
        <f t="shared" si="3"/>
        <v>88957030.508875743</v>
      </c>
      <c r="D13" s="15">
        <f t="shared" si="0"/>
        <v>36441742.008875743</v>
      </c>
      <c r="E13" s="15">
        <f t="shared" si="1"/>
        <v>118864775.09763311</v>
      </c>
    </row>
    <row r="14" spans="1:5" x14ac:dyDescent="0.25">
      <c r="A14" s="13">
        <v>13</v>
      </c>
      <c r="B14" s="7">
        <f t="shared" si="2"/>
        <v>-52515288.5</v>
      </c>
      <c r="C14" s="15">
        <f t="shared" si="3"/>
        <v>88957030.508875743</v>
      </c>
      <c r="D14" s="15">
        <f t="shared" si="0"/>
        <v>36441742.008875743</v>
      </c>
      <c r="E14" s="15">
        <f t="shared" si="1"/>
        <v>155306517.10650885</v>
      </c>
    </row>
    <row r="15" spans="1:5" x14ac:dyDescent="0.25">
      <c r="A15" s="13">
        <v>14</v>
      </c>
      <c r="B15" s="7">
        <f t="shared" si="2"/>
        <v>-52515288.5</v>
      </c>
      <c r="C15" s="15">
        <f t="shared" si="3"/>
        <v>88957030.508875743</v>
      </c>
      <c r="D15" s="15">
        <f t="shared" si="0"/>
        <v>36441742.008875743</v>
      </c>
      <c r="E15" s="15">
        <f t="shared" si="1"/>
        <v>191748259.11538458</v>
      </c>
    </row>
    <row r="16" spans="1:5" x14ac:dyDescent="0.25">
      <c r="A16" s="13">
        <v>15</v>
      </c>
      <c r="B16" s="7">
        <f t="shared" si="2"/>
        <v>-52515288.5</v>
      </c>
      <c r="C16" s="15">
        <f t="shared" si="3"/>
        <v>88957030.508875743</v>
      </c>
      <c r="D16" s="15">
        <f t="shared" si="0"/>
        <v>36441742.008875743</v>
      </c>
      <c r="E16" s="15">
        <f t="shared" si="1"/>
        <v>228190001.12426031</v>
      </c>
    </row>
    <row r="17" spans="1:5" x14ac:dyDescent="0.25">
      <c r="A17" s="13">
        <v>16</v>
      </c>
      <c r="B17" s="7">
        <f t="shared" si="2"/>
        <v>-52515288.5</v>
      </c>
      <c r="C17" s="15">
        <f t="shared" si="3"/>
        <v>88957030.508875743</v>
      </c>
      <c r="D17" s="15">
        <f t="shared" si="0"/>
        <v>36441742.008875743</v>
      </c>
      <c r="E17" s="15">
        <f t="shared" si="1"/>
        <v>264631743.13313603</v>
      </c>
    </row>
    <row r="18" spans="1:5" x14ac:dyDescent="0.25">
      <c r="A18" s="13">
        <v>17</v>
      </c>
      <c r="B18" s="7">
        <f t="shared" si="2"/>
        <v>-52515288.5</v>
      </c>
      <c r="C18" s="15">
        <f t="shared" si="3"/>
        <v>88957030.508875743</v>
      </c>
      <c r="D18" s="15">
        <f t="shared" si="0"/>
        <v>36441742.008875743</v>
      </c>
      <c r="E18" s="15">
        <f t="shared" si="1"/>
        <v>301073485.14201176</v>
      </c>
    </row>
    <row r="19" spans="1:5" x14ac:dyDescent="0.25">
      <c r="A19" s="13">
        <v>18</v>
      </c>
      <c r="B19" s="7">
        <f t="shared" si="2"/>
        <v>-52515288.5</v>
      </c>
      <c r="C19" s="15">
        <f t="shared" si="3"/>
        <v>88957030.508875743</v>
      </c>
      <c r="D19" s="15">
        <f t="shared" si="0"/>
        <v>36441742.008875743</v>
      </c>
      <c r="E19" s="15">
        <f t="shared" si="1"/>
        <v>337515227.15088749</v>
      </c>
    </row>
    <row r="20" spans="1:5" x14ac:dyDescent="0.25">
      <c r="A20" s="13">
        <v>19</v>
      </c>
      <c r="B20" s="7">
        <f>B19</f>
        <v>-52515288.5</v>
      </c>
      <c r="C20" s="15">
        <f t="shared" si="3"/>
        <v>88957030.508875743</v>
      </c>
      <c r="D20" s="15">
        <f t="shared" si="0"/>
        <v>36441742.008875743</v>
      </c>
      <c r="E20" s="15">
        <f t="shared" si="1"/>
        <v>373956969.15976322</v>
      </c>
    </row>
    <row r="21" spans="1:5" x14ac:dyDescent="0.25">
      <c r="A21" s="13">
        <v>20</v>
      </c>
      <c r="B21" s="7">
        <f>B20</f>
        <v>-52515288.5</v>
      </c>
      <c r="C21" s="15">
        <f t="shared" si="3"/>
        <v>88957030.508875743</v>
      </c>
      <c r="D21" s="15">
        <f t="shared" si="0"/>
        <v>36441742.008875743</v>
      </c>
      <c r="E21" s="15">
        <f t="shared" si="1"/>
        <v>410398711.16863894</v>
      </c>
    </row>
    <row r="22" spans="1:5" x14ac:dyDescent="0.25">
      <c r="A22" s="13"/>
    </row>
    <row r="24" spans="1:5" x14ac:dyDescent="0.25">
      <c r="A24" s="24" t="s">
        <v>26</v>
      </c>
      <c r="B24" s="25"/>
    </row>
    <row r="25" spans="1:5" x14ac:dyDescent="0.25">
      <c r="A25" s="13" t="s">
        <v>27</v>
      </c>
      <c r="B25" s="16">
        <v>0.10249999999999999</v>
      </c>
    </row>
    <row r="26" spans="1:5" x14ac:dyDescent="0.25">
      <c r="A26" s="13" t="s">
        <v>28</v>
      </c>
      <c r="B26" s="16">
        <f>-B29/D2</f>
        <v>5.7436774070306618E-2</v>
      </c>
    </row>
    <row r="27" spans="1:5" x14ac:dyDescent="0.25">
      <c r="A27" s="13" t="s">
        <v>29</v>
      </c>
      <c r="B27" s="16">
        <f>IRR(D2:D17)</f>
        <v>9.6997650423591875E-2</v>
      </c>
    </row>
    <row r="28" spans="1:5" x14ac:dyDescent="0.25">
      <c r="A28" s="13" t="s">
        <v>30</v>
      </c>
      <c r="B28" s="17">
        <f>A10+(-E10/D10)</f>
        <v>8.7382246691532348</v>
      </c>
    </row>
    <row r="29" spans="1:5" x14ac:dyDescent="0.25">
      <c r="A29" s="13" t="s">
        <v>31</v>
      </c>
      <c r="B29" s="20">
        <f>NPV(B25,D2:D21)</f>
        <v>16196847.89521361</v>
      </c>
    </row>
  </sheetData>
  <mergeCells count="1">
    <mergeCell ref="A24:B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Adquisiciones</vt:lpstr>
      <vt:lpstr>EX+B</vt:lpstr>
      <vt:lpstr>FdC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Parrado</dc:creator>
  <cp:lastModifiedBy>Miguel Parrado</cp:lastModifiedBy>
  <dcterms:created xsi:type="dcterms:W3CDTF">2026-03-21T22:43:04Z</dcterms:created>
  <dcterms:modified xsi:type="dcterms:W3CDTF">2026-05-21T22:51:43Z</dcterms:modified>
</cp:coreProperties>
</file>